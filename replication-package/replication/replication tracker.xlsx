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esoltas/Princeton Dropbox/Evan Soltas/Research/Completed/TransferIncidence/replication/"/>
    </mc:Choice>
  </mc:AlternateContent>
  <xr:revisionPtr revIDLastSave="0" documentId="13_ncr:1_{D2CAA9A3-0133-904D-9B08-4652F28A0B3C}" xr6:coauthVersionLast="47" xr6:coauthVersionMax="47" xr10:uidLastSave="{00000000-0000-0000-0000-000000000000}"/>
  <bookViews>
    <workbookView xWindow="980" yWindow="760" windowWidth="30240" windowHeight="17480" activeTab="1" xr2:uid="{00000000-000D-0000-FFFF-FFFF00000000}"/>
  </bookViews>
  <sheets>
    <sheet name="Table" sheetId="1" r:id="rId1"/>
    <sheet name="Figure" sheetId="3" r:id="rId2"/>
    <sheet name="Raw Data" sheetId="6" r:id="rId3"/>
  </sheets>
  <definedNames>
    <definedName name="_xlnm._FilterDatabase" localSheetId="1" hidden="1">Figure!$A$3:$G$58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C42" i="6" s="1"/>
  <c r="D41" i="6"/>
  <c r="C41" i="6" s="1"/>
  <c r="D40" i="6"/>
  <c r="C40" i="6" s="1"/>
  <c r="D39" i="6"/>
  <c r="C39" i="6" s="1"/>
  <c r="D38" i="6"/>
  <c r="C38" i="6" s="1"/>
  <c r="D37" i="6"/>
  <c r="C37" i="6" s="1"/>
  <c r="C22" i="1"/>
  <c r="C21" i="1"/>
  <c r="C12" i="6" l="1"/>
  <c r="C5" i="6" l="1"/>
  <c r="C6" i="6"/>
  <c r="C7" i="6"/>
  <c r="C8" i="6"/>
  <c r="C9" i="6"/>
  <c r="C10" i="6"/>
  <c r="C11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43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4" i="6"/>
  <c r="D45" i="6"/>
  <c r="D44" i="6"/>
  <c r="C44" i="6" s="1"/>
  <c r="E22" i="1" l="1"/>
  <c r="E21" i="1"/>
  <c r="E57" i="3"/>
  <c r="E56" i="3"/>
  <c r="E47" i="3"/>
  <c r="E40" i="3"/>
  <c r="E37" i="3"/>
  <c r="E36" i="3"/>
  <c r="E35" i="3"/>
  <c r="E34" i="3"/>
  <c r="E31" i="3"/>
  <c r="E30" i="3"/>
  <c r="E19" i="3"/>
  <c r="E14" i="3"/>
  <c r="E13" i="3" l="1"/>
  <c r="E12" i="3"/>
  <c r="E9" i="3"/>
  <c r="E8" i="3"/>
</calcChain>
</file>

<file path=xl/sharedStrings.xml><?xml version="1.0" encoding="utf-8"?>
<sst xmlns="http://schemas.openxmlformats.org/spreadsheetml/2006/main" count="675" uniqueCount="374">
  <si>
    <t>Number</t>
  </si>
  <si>
    <t>summstats_transfers.tex</t>
  </si>
  <si>
    <t>eligregs_appear_2_c_no3.pdf</t>
  </si>
  <si>
    <t>1a</t>
  </si>
  <si>
    <t>1b</t>
  </si>
  <si>
    <t>1c</t>
  </si>
  <si>
    <t>1d</t>
  </si>
  <si>
    <t>eligregs_appear_2_eq_no.pdf</t>
  </si>
  <si>
    <t>participation_reg_mu.pdf</t>
  </si>
  <si>
    <t>eligregs_psid_cex.pdf</t>
  </si>
  <si>
    <t>welfare_automatic</t>
  </si>
  <si>
    <t>A1</t>
  </si>
  <si>
    <t>participation_reg_ui_wc_ss.pdf</t>
  </si>
  <si>
    <t>A2a</t>
  </si>
  <si>
    <t>eligregs_robustness_11_c.pdf</t>
  </si>
  <si>
    <t>A2b</t>
  </si>
  <si>
    <t>eligregs_robustness_11_li.pdf</t>
  </si>
  <si>
    <t>A3</t>
  </si>
  <si>
    <t>friedman_binscatter.pdf</t>
  </si>
  <si>
    <t>A4</t>
  </si>
  <si>
    <t>rank_decay.pdf</t>
  </si>
  <si>
    <t>A5</t>
  </si>
  <si>
    <t>eligregs_robustness_8_c.pdf</t>
  </si>
  <si>
    <t>A6a</t>
  </si>
  <si>
    <t>eligregs_appear_2_c_no3hh.pdf</t>
  </si>
  <si>
    <t>A6b</t>
  </si>
  <si>
    <t>eligregs_appear_2_hh_nohh.pdf</t>
  </si>
  <si>
    <t>A7a</t>
  </si>
  <si>
    <t>eligregs_robustness_4_c.pdf</t>
  </si>
  <si>
    <t>A7b</t>
  </si>
  <si>
    <t>eligregs_robustness_4_li.pdf</t>
  </si>
  <si>
    <t>A8</t>
  </si>
  <si>
    <t>participation_reg_robustness_rpp.pdf</t>
  </si>
  <si>
    <t>A9a</t>
  </si>
  <si>
    <t>eligregs_robustness_5_c.pdf</t>
  </si>
  <si>
    <t>A9b</t>
  </si>
  <si>
    <t>eligregs_robustness_5_li.pdf</t>
  </si>
  <si>
    <t>A10a</t>
  </si>
  <si>
    <t>A10b</t>
  </si>
  <si>
    <t>eligregs_robustness_age_c.pdf</t>
  </si>
  <si>
    <t>eligregs_robustness_age_li.pdf</t>
  </si>
  <si>
    <t>A11</t>
  </si>
  <si>
    <t>A11a</t>
  </si>
  <si>
    <t>eligregs_robustness_9.pdf</t>
  </si>
  <si>
    <t>A11b</t>
  </si>
  <si>
    <t>eligregs_robustness_10.pdf</t>
  </si>
  <si>
    <t>A12a</t>
  </si>
  <si>
    <t>het_self_targeting_snap.pdf</t>
  </si>
  <si>
    <t>A12b</t>
  </si>
  <si>
    <t>het_self_targeting_medicaid.pdf</t>
  </si>
  <si>
    <t>A13a</t>
  </si>
  <si>
    <t>het_self_targeting_cex_snap.pdf</t>
  </si>
  <si>
    <t>A13b</t>
  </si>
  <si>
    <t>het_self_targeting_cex_medicaid.pdf</t>
  </si>
  <si>
    <t>A14</t>
  </si>
  <si>
    <t>multiple_receipt.pdf</t>
  </si>
  <si>
    <t>A15</t>
  </si>
  <si>
    <t>distrib_reg.pdf</t>
  </si>
  <si>
    <t>A16a</t>
  </si>
  <si>
    <t>eligregs_robustness3_c.pdf</t>
  </si>
  <si>
    <t>A16b</t>
  </si>
  <si>
    <t>eligregs_robustness3_li.pdf</t>
  </si>
  <si>
    <t>A17</t>
  </si>
  <si>
    <t>robustness3_cex.pdf</t>
  </si>
  <si>
    <t>A18</t>
  </si>
  <si>
    <t>across_program_comparison.pdf</t>
  </si>
  <si>
    <t>A19</t>
  </si>
  <si>
    <t>explain_heterogeneity_support.pdf</t>
  </si>
  <si>
    <t>A20</t>
  </si>
  <si>
    <t>precautionary.pdf</t>
  </si>
  <si>
    <t>eligregs_robustness2_c.pdf</t>
  </si>
  <si>
    <t>A21a</t>
  </si>
  <si>
    <t>A21b</t>
  </si>
  <si>
    <t>eligregs_robustness2_li.pdf</t>
  </si>
  <si>
    <t>A22</t>
  </si>
  <si>
    <t>robustness2_cex.pdf</t>
  </si>
  <si>
    <t>A23a</t>
  </si>
  <si>
    <t>A23b</t>
  </si>
  <si>
    <t>A23c</t>
  </si>
  <si>
    <t>A23d</t>
  </si>
  <si>
    <t>eligregs_appear_2_c_yes3.pdf</t>
  </si>
  <si>
    <t>eligregs_appear_2_eq_yes.pdf</t>
  </si>
  <si>
    <t>eligregs_psid_cex_simelig.pdf</t>
  </si>
  <si>
    <t>A24a</t>
  </si>
  <si>
    <t>eligregs_robustness_c.pdf</t>
  </si>
  <si>
    <t>A24b</t>
  </si>
  <si>
    <t>eligregs_robustness_li.pdf</t>
  </si>
  <si>
    <t>A25</t>
  </si>
  <si>
    <t>eligregs_robustness_cex.pdf</t>
  </si>
  <si>
    <t>A26a</t>
  </si>
  <si>
    <t>eligregs_robustness_6_c.pdf</t>
  </si>
  <si>
    <t>A26b</t>
  </si>
  <si>
    <t>eligregs_robustness_6_li.pdf</t>
  </si>
  <si>
    <t>A27a</t>
  </si>
  <si>
    <t>A27b</t>
  </si>
  <si>
    <t>eligregs_robustness_7_c.pdf</t>
  </si>
  <si>
    <t>eligregs_robustness_7_li.pdf</t>
  </si>
  <si>
    <t>A28a</t>
  </si>
  <si>
    <t>A28b</t>
  </si>
  <si>
    <t>eligregs_appear_me__c_no.pdf</t>
  </si>
  <si>
    <t>eligregs_appear_me__eq_no.pdf</t>
  </si>
  <si>
    <t>A29a</t>
  </si>
  <si>
    <t>A29b</t>
  </si>
  <si>
    <t>rk_c_current_eq_pred_income.pdf</t>
  </si>
  <si>
    <t>A30</t>
  </si>
  <si>
    <t>lifetime_internal_validation_eq.pdf</t>
  </si>
  <si>
    <t>A31</t>
  </si>
  <si>
    <t>selection_by_year2.pdf</t>
  </si>
  <si>
    <t>A32</t>
  </si>
  <si>
    <t>A2</t>
  </si>
  <si>
    <t>A6</t>
  </si>
  <si>
    <t>A7</t>
  </si>
  <si>
    <t>A9</t>
  </si>
  <si>
    <t>A10</t>
  </si>
  <si>
    <t>A12</t>
  </si>
  <si>
    <t>A13</t>
  </si>
  <si>
    <t>A16</t>
  </si>
  <si>
    <t>levels_outcomes.tex</t>
  </si>
  <si>
    <t>well_measured_c.tex</t>
  </si>
  <si>
    <t>well_measured_cex.tex</t>
  </si>
  <si>
    <t>durable_good_ownership.tex</t>
  </si>
  <si>
    <t>durable_good_ownership_cex.tex</t>
  </si>
  <si>
    <t>elig_share.tex</t>
  </si>
  <si>
    <t>takeup_rates.tex</t>
  </si>
  <si>
    <t>takeup_rates_comparison.tex</t>
  </si>
  <si>
    <t>mvpf.tex</t>
  </si>
  <si>
    <t>Title</t>
  </si>
  <si>
    <t>Self-Targeting in Transfer Programs</t>
  </si>
  <si>
    <t>New File Name</t>
  </si>
  <si>
    <t>fig_1c</t>
  </si>
  <si>
    <t>Selection on Consumption</t>
  </si>
  <si>
    <t>Subtitle</t>
  </si>
  <si>
    <t>Note</t>
  </si>
  <si>
    <t>fig_A6ab</t>
  </si>
  <si>
    <t>Between and Within Lifetimes, Among Eligible</t>
  </si>
  <si>
    <t>Marginal Utility (Baily–Chetty Calibration)</t>
  </si>
  <si>
    <t>Estimates of Self-Targeting by Data Source (PSID Versus CEX)</t>
  </si>
  <si>
    <t>fig_A1</t>
  </si>
  <si>
    <t>Absence of Self-Targeting in Contributory Programs</t>
  </si>
  <si>
    <t>fig_A2ab</t>
  </si>
  <si>
    <t>Raw Differences in Income, Consumption, and Lifetime Income by Transfer: Benchmarks for Magnitude of Self-Targeting</t>
  </si>
  <si>
    <t>Consumption</t>
  </si>
  <si>
    <t>Lifetime Income</t>
  </si>
  <si>
    <t>Relationship Between Consumption and Income by Transfer Receipt and Eligibility</t>
  </si>
  <si>
    <t>fig_A3</t>
  </si>
  <si>
    <t>fig_A4</t>
  </si>
  <si>
    <t>Self-Targeting on Transfer Receipt in the Distant Future</t>
  </si>
  <si>
    <t>ounds Analysis of Self-Targeting on Consumption</t>
  </si>
  <si>
    <t>fig_A5</t>
  </si>
  <si>
    <t>fig_A11a</t>
  </si>
  <si>
    <t>Self-Targeting in Transfer Programs (Non-Equivalized Households)</t>
  </si>
  <si>
    <t>Selection on Lifetime Income</t>
  </si>
  <si>
    <t>Selection into Transfer Receipt: Income Interacted with Household Structure</t>
  </si>
  <si>
    <t>fig_A7ab</t>
  </si>
  <si>
    <t>fig_A9ab</t>
  </si>
  <si>
    <t>Selection on Consumption into Transfer Receipt: Adjusted for Regional Price Parity</t>
  </si>
  <si>
    <t>fig_A8</t>
  </si>
  <si>
    <t>Selection into Transfer Receipt: Income Interacted with Cohort Indicators</t>
  </si>
  <si>
    <t>Self-Targeting by Age</t>
  </si>
  <si>
    <t>fig_A11b</t>
  </si>
  <si>
    <t>fig_A10ab</t>
  </si>
  <si>
    <t>fig_A16ab</t>
  </si>
  <si>
    <t>Robustness of Self-Targeting to Alternative Utility Functions</t>
  </si>
  <si>
    <t>State Dependence in Health Status</t>
  </si>
  <si>
    <t>Nonseparability in Hours</t>
  </si>
  <si>
    <t>Demographic Heterogeneity in Self-Targeting (PSID)</t>
  </si>
  <si>
    <t>SNAP</t>
  </si>
  <si>
    <t>Medicaid</t>
  </si>
  <si>
    <t>fig_A12ab</t>
  </si>
  <si>
    <t>fig_A13ab</t>
  </si>
  <si>
    <t>Demographic Heterogeneity in Self-Targeting (CEX)</t>
  </si>
  <si>
    <t>Self-Targeting by Number of Distinct Transfers Received</t>
  </si>
  <si>
    <t>fig_A14</t>
  </si>
  <si>
    <t>Distributional Decompositions of Self-Targeting by Consumption Ventile</t>
  </si>
  <si>
    <t>fig_A15</t>
  </si>
  <si>
    <t>Heterogeneous Self-Targeting by Current Income Rank (PSID)</t>
  </si>
  <si>
    <t>fig_A21ab</t>
  </si>
  <si>
    <t>Heterogeneous Self-Targeting on Consumption by Current Income Rank (CEX)</t>
  </si>
  <si>
    <t>fig_A17</t>
  </si>
  <si>
    <t>Relationship of Self-Targeting Estimates to Transfer Characteristics</t>
  </si>
  <si>
    <t>fig_A18</t>
  </si>
  <si>
    <t>Variation in Eligible Populations Does Not Explain Across-Program Heterogeneity in Self-Targeting</t>
  </si>
  <si>
    <t>fig_A19</t>
  </si>
  <si>
    <t>Relating Self-Targeting to Theories of Consumption Behavior</t>
  </si>
  <si>
    <t>fig_A20</t>
  </si>
  <si>
    <t>Adjustments to Eligibility Simulations (PSID)</t>
  </si>
  <si>
    <t>Adjustments to Eligibility Simulations (CEX)</t>
  </si>
  <si>
    <t>fig_A22</t>
  </si>
  <si>
    <t>Self-Targeting in Transfer Programs: Reclassifying Simulated Ineligible Recipients</t>
  </si>
  <si>
    <t>Between-Lifetime Versus Within-Lifetime, Among Eligible</t>
  </si>
  <si>
    <t>By Data Source</t>
  </si>
  <si>
    <t>fig_1ab_A23ab_A28ab</t>
  </si>
  <si>
    <t>fig_1d</t>
  </si>
  <si>
    <t>Self-Targeting Among the Very Likely Eligible (PSID)</t>
  </si>
  <si>
    <t>fig_A24ab</t>
  </si>
  <si>
    <t>Self-Targeting on Consumption Among the Very Likely Eligible (CEX)</t>
  </si>
  <si>
    <t>fig_A25</t>
  </si>
  <si>
    <t>Accounting for Months of Transfer Receipt</t>
  </si>
  <si>
    <t>fig_A26ab</t>
  </si>
  <si>
    <t>fig_A27ab</t>
  </si>
  <si>
    <t>Test for Aggregation Bias in Income Using Stable Employer Subsample</t>
  </si>
  <si>
    <t>What Explains Selection into Transfer Receipt? With Controls</t>
  </si>
  <si>
    <t>Self-Targeting by Minimum Years of Observation</t>
  </si>
  <si>
    <t>fig_A30</t>
  </si>
  <si>
    <t>Selection into Transfer Receipt Over Time</t>
  </si>
  <si>
    <t>fig_A31</t>
  </si>
  <si>
    <t>fig_A29ab</t>
  </si>
  <si>
    <t>Selection into Transfers, with Predicted-Income Control</t>
  </si>
  <si>
    <t>table_1</t>
  </si>
  <si>
    <t>table_A3</t>
  </si>
  <si>
    <t>table_A5</t>
  </si>
  <si>
    <t>table_A6</t>
  </si>
  <si>
    <t>table_A9</t>
  </si>
  <si>
    <t>table_A14</t>
  </si>
  <si>
    <t>Means-Tested Transfer Programs in the U.S.</t>
  </si>
  <si>
    <t>SNAP Receipt, Eligibility, and Take-Up Rates by Income and Consumption Quintile</t>
  </si>
  <si>
    <t>SNAP Receipt, Eligibility, and Take-Up Rates by Income and Lifetime Income Quintile</t>
  </si>
  <si>
    <t>Dollars and Percentage Differences Between Recipients and Similar-Income Non-Recipients</t>
  </si>
  <si>
    <t>Self-Targeting on Additional Measures of Need</t>
  </si>
  <si>
    <t>table_A4_i; table_A4_ii</t>
  </si>
  <si>
    <t>Food Insecurity and SNAP Receipt (PSID)</t>
  </si>
  <si>
    <t>Selection into Transfers, Adjusted for Misreporting of Transfer Receipt</t>
  </si>
  <si>
    <t>Sensitivity of Self-Targeting on Consumption to Income Mismeasurement (PSID)</t>
  </si>
  <si>
    <t>Sensitivity of Self-Targeting on Lifetime Income to Income Mismeasurement (PSID)</t>
  </si>
  <si>
    <t>Sensitivity of Self-Targeting on Consumption to Income Mismeasurement (CEX)</t>
  </si>
  <si>
    <t>table_A10_12</t>
  </si>
  <si>
    <t>Well-Measured Consumption and Transfer Receipt (PSID)</t>
  </si>
  <si>
    <t>table_A11_13</t>
  </si>
  <si>
    <t>Well-Measured Consumption and Transfer Receipt (CEX)</t>
  </si>
  <si>
    <t>Durable-Goods Ownership and Transfer Receipt (PSID)</t>
  </si>
  <si>
    <t>Durable-Goods Ownership and Transfer Receipt (CEX)</t>
  </si>
  <si>
    <t>Simulated Eligibility and Receipt Rates</t>
  </si>
  <si>
    <t>fig_A32</t>
  </si>
  <si>
    <t>Marginal Value of Public Funds (MVPF), Voluntary and Automatic Transfers</t>
  </si>
  <si>
    <t>Review of Estimated Take-Up Rates</t>
  </si>
  <si>
    <t>Explaining Differences in Take-Up Rates</t>
  </si>
  <si>
    <t>from lit review</t>
  </si>
  <si>
    <t>table_2_A1</t>
  </si>
  <si>
    <t>data/psid/J345111_codebook.html</t>
  </si>
  <si>
    <t>data/psid/J345111.txt</t>
  </si>
  <si>
    <t>data/psid/J308959_codebook.html</t>
  </si>
  <si>
    <t>data/psid/J308959.txt</t>
  </si>
  <si>
    <t>data/psid/fed_pov_guidelines.dta</t>
  </si>
  <si>
    <t>data/crosswalks/occ1970_occ1990dd/occ1970_occ1990dd.dta</t>
  </si>
  <si>
    <t>data/crosswalks/occ2000_occ1990dd/occ2000_occ1990dd.dta</t>
  </si>
  <si>
    <t>data/crosswalks/occ2010_occ1990dd/occ2010_occ1990dd.dta</t>
  </si>
  <si>
    <t>data/eligsim/housing_assistance/incfy97.dta</t>
  </si>
  <si>
    <t>data/eligsim/housing_assistance/incfy98.dta</t>
  </si>
  <si>
    <t>data/eligsim/housing_assistance/incfy99.dta</t>
  </si>
  <si>
    <t>data/eligsim/housing_assistance/incfy00.dta</t>
  </si>
  <si>
    <t>data/eligsim/housing_assistance/incfy01.dta</t>
  </si>
  <si>
    <t>data/eligsim/housing_assistance/incfy02.dta</t>
  </si>
  <si>
    <t>data/eligsim/housing_assistance/incfy03.dta</t>
  </si>
  <si>
    <t>data/eligsim/housing_assistance/incfy04.dta</t>
  </si>
  <si>
    <t>data/eligsim/housing_assistance/incfy05.dta</t>
  </si>
  <si>
    <t>data/eligsim/housing_assistance/incfy06.dta</t>
  </si>
  <si>
    <t>data/eligsim/housing_assistance/incfy07.dta</t>
  </si>
  <si>
    <t>data/eligsim/housing_assistance/incfy08.dta</t>
  </si>
  <si>
    <t>data/eligsim/housing_assistance/incfy09.dta</t>
  </si>
  <si>
    <t>data/eligsim/housing_assistance/incfy10.dta</t>
  </si>
  <si>
    <t>data/eligsim/housing_assistance/incfy11.dta</t>
  </si>
  <si>
    <t>data/eligsim/housing_assistance/incfy12.dta</t>
  </si>
  <si>
    <t>data/eligsim/housing_assistance/incfy13.dta</t>
  </si>
  <si>
    <t>data/eligsim/housing_assistance/incfy14.dta</t>
  </si>
  <si>
    <t>data/eligsim/housing_assistance/incfy15.dta</t>
  </si>
  <si>
    <t>data/eligsim/housing_assistance/incfy16.dta</t>
  </si>
  <si>
    <t>data/eligsim/housing_assistance/incfy17.dta</t>
  </si>
  <si>
    <t>data/eligsim/housing_assistance/incfy18.dta</t>
  </si>
  <si>
    <t>data/eligsim/housing_assistance/incfy19.dta</t>
  </si>
  <si>
    <t>data/eligsim/liheap/liheap_eligibility_income_limit.csv</t>
  </si>
  <si>
    <t>data/eligsim/liheap/liheap_eligibility_smi.csv</t>
  </si>
  <si>
    <t>data/eligsim/liheap/liheap_eligibility_fpg.csv</t>
  </si>
  <si>
    <t>data/eligsim/liheap/liheap_eligibility_asset_limit.csv</t>
  </si>
  <si>
    <t>data/eligsim/liheap/catelig_liheap.csv</t>
  </si>
  <si>
    <t>data/eligsim/snap/immigrant_elig.csv</t>
  </si>
  <si>
    <t>data/eligsim/snap/SNAP_Policy_Database.xlsx</t>
  </si>
  <si>
    <t>data/eligsim/snap/snap_params.csv</t>
  </si>
  <si>
    <t>data/eligsim/ssi/ssi_state_supplement.csv</t>
  </si>
  <si>
    <t>data/eligsim/tanf/raw/FamilyMonthlyNeed.xlsx</t>
  </si>
  <si>
    <t>data/eligsim/tanf/raw/GrossNet.xlsx</t>
  </si>
  <si>
    <t>data/eligsim/tanf/raw/DAX1.xlsx</t>
  </si>
  <si>
    <t>data/eligsim/tanf/raw/DAX2.xlsx</t>
  </si>
  <si>
    <t>data/eligsim/tanf/raw/DAX3.xlsx</t>
  </si>
  <si>
    <t>data/eligsim/tanf/raw/DAX4.xlsx</t>
  </si>
  <si>
    <t>data/eligsim/tanf/raw/DAX5.xlsx</t>
  </si>
  <si>
    <t>data/eligsim/tanf/raw/DAX6.xlsx</t>
  </si>
  <si>
    <t>data/eligsim/tanf/raw/DAX7.xlsx</t>
  </si>
  <si>
    <t>data/eligsim/tanf/raw/DAX8.xlsx</t>
  </si>
  <si>
    <t>data/eligsim/tanf/raw/DAX9.xlsx</t>
  </si>
  <si>
    <t>data/eligsim/tanf/raw/DAX10.xlsx</t>
  </si>
  <si>
    <t>data/eligsim/tanf/raw/DAX11.xlsx</t>
  </si>
  <si>
    <t>data/eligsim/tanf/raw/DAX12.xlsx</t>
  </si>
  <si>
    <t>data/eligsim/tanf/raw/NetFactor.xlsx</t>
  </si>
  <si>
    <t>data/eligsim/tanf/raw/NetIncomeDAMapping.xlsx</t>
  </si>
  <si>
    <t>data/eligsim/tanf/raw/GrossFactor.xlsx</t>
  </si>
  <si>
    <t>data/eligsim/tanf/raw/GrossIncomeDAMapping.xlsx</t>
  </si>
  <si>
    <t>data/eligsim/tanf/raw/DisregardUsedFor.xlsx</t>
  </si>
  <si>
    <t>data/eligsim/tanf/raw/EarningsFraction.xlsx</t>
  </si>
  <si>
    <t>data/eligsim/tanf/raw/DisregardFixed.xlsx</t>
  </si>
  <si>
    <t>data/cps/cps_00092.dat</t>
  </si>
  <si>
    <t>fig_2_A23d</t>
  </si>
  <si>
    <t>Measurement Error Simulations</t>
  </si>
  <si>
    <t>URL</t>
  </si>
  <si>
    <t>https://simba.isr.umich.edu/data/data.aspx</t>
  </si>
  <si>
    <t>https://www.ddorn.net/data.htm</t>
  </si>
  <si>
    <t>https://aspe.hhs.gov/topics/poverty-economic-mobility/poverty-guidelines/prior-hhs-poverty-guidelines-federal-register-references</t>
  </si>
  <si>
    <t>trim3.urban.org</t>
  </si>
  <si>
    <t>https://www.huduser.gov/portal/datasets/il.html#null</t>
  </si>
  <si>
    <t>Data Name</t>
  </si>
  <si>
    <t>Location</t>
  </si>
  <si>
    <t>Citation</t>
  </si>
  <si>
    <t>Panel Study of Income Dynamics, public use dataset. Produced and distributed by the Survey Research Center, Institute for Social Research, University of Michigan, Ann Arbor, MI (2025).</t>
  </si>
  <si>
    <t>Data for each year can be found at the URL.</t>
  </si>
  <si>
    <t>Prior HHS Poverty Guidelines and Federal Register References</t>
  </si>
  <si>
    <t>David Autor and David Dorn. "The Growth of Low Skill Service Jobs and the Polarization of the U.S. Labor Market." American Economic Review, 103(5), 1553-1597, 2013.</t>
  </si>
  <si>
    <t>David Autor. "Why Are There Still So Many Jobs? The History and Future of Workplace Automation." Journal of Economic Perspectives, 29(3), 3-30, 2015.</t>
  </si>
  <si>
    <t>https://cps.ipums.org/cps/</t>
  </si>
  <si>
    <t>Current Population Survey Data for Social, Economic, and Health Research</t>
  </si>
  <si>
    <t>Sarah Flood, Miriam King, Renae Rodgers, Steven Ruggles, J. Robert Warren, Daniel Backman, Annie Chen, Grace Cooper, Stephanie Richards, Megan Schouweiler, and Michael Westberry. IPUMS CPS: Version 12.0 [dataset]. Minneapolis, MN: IPUMS, 2024. https://doi.org/10.18128/D030.V12.0</t>
  </si>
  <si>
    <t>Data for Section 8 Income Limits</t>
  </si>
  <si>
    <t>Data for each year can be found at the URL. Navigate to the "Data" tab and download the "Data for Section 8 Income Limits" Excel</t>
  </si>
  <si>
    <t>US Health and Human Services. ""Prior HHS Poverty Guidelines and Federal Register References," 2025.</t>
  </si>
  <si>
    <t>Occupation Codes Crosswalk Files: 1970 Census occ to occ1990dd</t>
  </si>
  <si>
    <t>Occupation Codes Crosswalk Files: 2000 Census occ to occ1990dd</t>
  </si>
  <si>
    <t>Occupation Codes Crosswalk Files: 2010 Census occ to occ1990dd</t>
  </si>
  <si>
    <t>The Department of Housing and Urban Development. ""Prior HHS Poverty Guidelines and Federal Register References," 2025.</t>
  </si>
  <si>
    <t>SNAP Policy Database</t>
  </si>
  <si>
    <t>Files are compiled by documents in data/eligsim/liheap</t>
  </si>
  <si>
    <t>https://www.ers.usda.gov/data-products/snap-policy-data-sets/</t>
  </si>
  <si>
    <t>Economic Research Service (ERS), U.S. Department of Agriculture (USDA). SNAP Distribution Schedule Database, SNAP Policy Data Sets.</t>
  </si>
  <si>
    <t>TRIM3 project website, trim3.urban.org, downloaded on 4/3/2025.</t>
  </si>
  <si>
    <t>TRIM3 project website, trim3.urban.org, downloaded on 4/30/2025.</t>
  </si>
  <si>
    <t>Data access requires registration</t>
  </si>
  <si>
    <t>Data compiled by hand by authors using publicly available sources.</t>
  </si>
  <si>
    <t>Link</t>
  </si>
  <si>
    <t>Panel Study of Income Dynamics Data</t>
  </si>
  <si>
    <t>LIHEAP Data</t>
  </si>
  <si>
    <t>SNAP Parameters</t>
  </si>
  <si>
    <t>SSI State Supplement</t>
  </si>
  <si>
    <t>TANF Data</t>
  </si>
  <si>
    <t>data/cps/cps_00091.dat</t>
  </si>
  <si>
    <t>Raw Data List</t>
  </si>
  <si>
    <t>Figures</t>
  </si>
  <si>
    <t>Tables</t>
  </si>
  <si>
    <t>Export Name</t>
  </si>
  <si>
    <t>File Name</t>
  </si>
  <si>
    <t>constrained_reg_cex_final.tex</t>
  </si>
  <si>
    <t>table_A7_A8</t>
  </si>
  <si>
    <t>mittag_final.tex</t>
  </si>
  <si>
    <t>snap_by_month_final.tex</t>
  </si>
  <si>
    <t>table_A2</t>
  </si>
  <si>
    <t>tabulations_cex_final.tex</t>
  </si>
  <si>
    <t>Line Number</t>
  </si>
  <si>
    <t xml:space="preserve">Program generates other figures not included in the paper </t>
  </si>
  <si>
    <t>Figure created will appear different than corresponding figure in the paper due to the removal of proprietary data</t>
  </si>
  <si>
    <t>fig_1c_A23c</t>
  </si>
  <si>
    <t>Please create an account and use the data center to download the relevant data. Refer to the following link for specific variables and years: https://simba.isr.umich.edu/Cart/dLink.aspx?JobID=351780</t>
  </si>
  <si>
    <t>tabulations_final.tex</t>
  </si>
  <si>
    <t>Output is split into Table 2 and Appendix Table A1</t>
  </si>
  <si>
    <t>Output is split into Appendix Table A7 and A8</t>
  </si>
  <si>
    <t>24–35</t>
  </si>
  <si>
    <t>welfare_progs; table_3_ii; table_3_iii</t>
  </si>
  <si>
    <t>Only table_3_i.do and table _3_ii.do need to be run since they call welfare_progs</t>
  </si>
  <si>
    <t>table_A17; table_3_iii</t>
  </si>
  <si>
    <t>Output is made in table_3_iii</t>
  </si>
  <si>
    <t>constrained_reg_final.tex</t>
  </si>
  <si>
    <t>To create figure 1c and A23c, turn on the imputation option (global imputation = 1).</t>
  </si>
  <si>
    <t>Not applicable. Files were compiled by hand from policy documents in data/eligsim/liheap.</t>
  </si>
  <si>
    <t>Not applicable. Data compiled by hand by authors using publicly available sources.</t>
  </si>
  <si>
    <t>other_outcomes.tex</t>
  </si>
  <si>
    <t>adversarial_reg.pdf</t>
  </si>
  <si>
    <t>rk_lifetime_eq_pred_income.pdf</t>
  </si>
  <si>
    <t>eligregs_between_within_lifetime_yes.pdf</t>
  </si>
  <si>
    <t>eligregs_between_within_lifetime_no.pdf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</si>
</sst>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2060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8"/>
      <color theme="1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right" indent="4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206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3" totalsRowShown="0" headerRowDxfId="24" dataDxfId="23">
  <autoFilter ref="A3:F23" xr:uid="{00000000-0009-0000-0100-000001000000}"/>
  <tableColumns count="6">
    <tableColumn id="1" xr3:uid="{00000000-0010-0000-0000-000001000000}" name="Number" dataDxfId="22"/>
    <tableColumn id="2" xr3:uid="{00000000-0010-0000-0000-000002000000}" name="Export Name" dataDxfId="21"/>
    <tableColumn id="8" xr3:uid="{00000000-0010-0000-0000-000008000000}" name="Line Number" dataDxfId="20"/>
    <tableColumn id="3" xr3:uid="{00000000-0010-0000-0000-000003000000}" name="Title" dataDxfId="19"/>
    <tableColumn id="5" xr3:uid="{00000000-0010-0000-0000-000005000000}" name="New File Name" dataDxfId="18"/>
    <tableColumn id="7" xr3:uid="{00000000-0010-0000-0000-000007000000}" name="Note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58" totalsRowShown="0" headerRowDxfId="16" dataDxfId="15">
  <autoFilter ref="A3:G58" xr:uid="{00000000-0009-0000-0100-000002000000}"/>
  <tableColumns count="7">
    <tableColumn id="1" xr3:uid="{00000000-0010-0000-0100-000001000000}" name="Number" dataDxfId="14"/>
    <tableColumn id="2" xr3:uid="{00000000-0010-0000-0100-000002000000}" name="Export Name" dataDxfId="13"/>
    <tableColumn id="8" xr3:uid="{00000000-0010-0000-0100-000008000000}" name="Line Number" dataDxfId="12"/>
    <tableColumn id="3" xr3:uid="{00000000-0010-0000-0100-000003000000}" name="Title" dataDxfId="11"/>
    <tableColumn id="4" xr3:uid="{00000000-0010-0000-0100-000004000000}" name="Subtitle" dataDxfId="10"/>
    <tableColumn id="6" xr3:uid="{00000000-0010-0000-0100-000006000000}" name="File Name" dataDxfId="9"/>
    <tableColumn id="7" xr3:uid="{00000000-0010-0000-0100-000007000000}" name="Note" dataDxf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66" totalsRowShown="0" headerRowDxfId="7" dataDxfId="6">
  <autoFilter ref="A3:F66" xr:uid="{00000000-0009-0000-0100-000003000000}"/>
  <tableColumns count="6">
    <tableColumn id="1" xr3:uid="{00000000-0010-0000-0200-000001000000}" name="Data Name" dataDxfId="5"/>
    <tableColumn id="2" xr3:uid="{00000000-0010-0000-0200-000002000000}" name="Location" dataDxfId="4"/>
    <tableColumn id="3" xr3:uid="{00000000-0010-0000-0200-000003000000}" name="Link" dataDxfId="3">
      <calculatedColumnFormula>IF(ISNA(D4)=TRUE,"",HYPERLINK(D4,"LINK"))</calculatedColumnFormula>
    </tableColumn>
    <tableColumn id="4" xr3:uid="{00000000-0010-0000-0200-000004000000}" name="URL" dataDxfId="2" dataCellStyle="Hyperlink"/>
    <tableColumn id="5" xr3:uid="{00000000-0010-0000-0200-000005000000}" name="Citation" dataDxfId="1"/>
    <tableColumn id="6" xr3:uid="{00000000-0010-0000-0200-000006000000}" name="No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imba.isr.umich.edu/data/data.aspx" TargetMode="External"/><Relationship Id="rId13" Type="http://schemas.openxmlformats.org/officeDocument/2006/relationships/hyperlink" Target="http://trim3.urban.org/" TargetMode="External"/><Relationship Id="rId3" Type="http://schemas.openxmlformats.org/officeDocument/2006/relationships/hyperlink" Target="https://www.huduser.gov/portal/datasets/il.html" TargetMode="External"/><Relationship Id="rId7" Type="http://schemas.openxmlformats.org/officeDocument/2006/relationships/hyperlink" Target="https://simba.isr.umich.edu/data/data.aspx" TargetMode="External"/><Relationship Id="rId12" Type="http://schemas.openxmlformats.org/officeDocument/2006/relationships/hyperlink" Target="http://trim3.urban.org/" TargetMode="External"/><Relationship Id="rId17" Type="http://schemas.openxmlformats.org/officeDocument/2006/relationships/table" Target="../tables/table3.xml"/><Relationship Id="rId2" Type="http://schemas.openxmlformats.org/officeDocument/2006/relationships/hyperlink" Target="https://www.ddorn.net/data.htm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www.ddorn.net/data.htm" TargetMode="External"/><Relationship Id="rId6" Type="http://schemas.openxmlformats.org/officeDocument/2006/relationships/hyperlink" Target="https://simba.isr.umich.edu/data/data.aspx" TargetMode="External"/><Relationship Id="rId11" Type="http://schemas.openxmlformats.org/officeDocument/2006/relationships/hyperlink" Target="https://www.ers.usda.gov/data-products/snap-policy-data-sets/" TargetMode="External"/><Relationship Id="rId5" Type="http://schemas.openxmlformats.org/officeDocument/2006/relationships/hyperlink" Target="https://simba.isr.umich.edu/data/data.aspx" TargetMode="External"/><Relationship Id="rId15" Type="http://schemas.openxmlformats.org/officeDocument/2006/relationships/hyperlink" Target="https://cps.ipums.org/cps/" TargetMode="External"/><Relationship Id="rId10" Type="http://schemas.openxmlformats.org/officeDocument/2006/relationships/hyperlink" Target="https://www.ddorn.net/data.htm" TargetMode="External"/><Relationship Id="rId4" Type="http://schemas.openxmlformats.org/officeDocument/2006/relationships/hyperlink" Target="https://www.huduser.gov/portal/datasets/il.html" TargetMode="External"/><Relationship Id="rId9" Type="http://schemas.openxmlformats.org/officeDocument/2006/relationships/hyperlink" Target="https://aspe.hhs.gov/topics/poverty-economic-mobility/poverty-guidelines/prior-hhs-poverty-guidelines-federal-register-references" TargetMode="External"/><Relationship Id="rId14" Type="http://schemas.openxmlformats.org/officeDocument/2006/relationships/hyperlink" Target="https://cps.ipums.org/c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="115" zoomScaleNormal="115" workbookViewId="0">
      <selection activeCell="B22" sqref="B22"/>
    </sheetView>
  </sheetViews>
  <sheetFormatPr baseColWidth="10" defaultColWidth="8.83203125" defaultRowHeight="13" x14ac:dyDescent="0.15"/>
  <cols>
    <col min="1" max="1" width="8.6640625" style="2" customWidth="1"/>
    <col min="2" max="2" width="28.33203125" style="2" customWidth="1"/>
    <col min="3" max="3" width="14.33203125" style="2" customWidth="1"/>
    <col min="4" max="4" width="74.6640625" style="2" bestFit="1" customWidth="1"/>
    <col min="5" max="5" width="19.6640625" style="2" bestFit="1" customWidth="1"/>
    <col min="6" max="6" width="28.6640625" style="2" bestFit="1" customWidth="1"/>
    <col min="7" max="16384" width="8.83203125" style="2"/>
  </cols>
  <sheetData>
    <row r="1" spans="1:6" ht="23" x14ac:dyDescent="0.25">
      <c r="A1" s="8" t="s">
        <v>343</v>
      </c>
      <c r="B1" s="10"/>
      <c r="C1" s="10"/>
      <c r="D1" s="10"/>
      <c r="E1" s="10"/>
    </row>
    <row r="2" spans="1:6" ht="3" customHeight="1" x14ac:dyDescent="0.15"/>
    <row r="3" spans="1:6" x14ac:dyDescent="0.15">
      <c r="A3" s="4" t="s">
        <v>0</v>
      </c>
      <c r="B3" s="4" t="s">
        <v>344</v>
      </c>
      <c r="C3" s="4" t="s">
        <v>352</v>
      </c>
      <c r="D3" s="4" t="s">
        <v>126</v>
      </c>
      <c r="E3" s="4" t="s">
        <v>128</v>
      </c>
      <c r="F3" s="4" t="s">
        <v>132</v>
      </c>
    </row>
    <row r="4" spans="1:6" x14ac:dyDescent="0.15">
      <c r="A4" s="7">
        <v>1</v>
      </c>
      <c r="B4" s="2" t="s">
        <v>1</v>
      </c>
      <c r="C4" s="12">
        <v>146</v>
      </c>
      <c r="D4" s="2" t="s">
        <v>214</v>
      </c>
      <c r="E4" s="2" t="s">
        <v>208</v>
      </c>
    </row>
    <row r="5" spans="1:6" x14ac:dyDescent="0.15">
      <c r="A5" s="7">
        <v>2</v>
      </c>
      <c r="B5" s="2" t="s">
        <v>357</v>
      </c>
      <c r="C5" s="12">
        <v>129</v>
      </c>
      <c r="D5" s="2" t="s">
        <v>215</v>
      </c>
      <c r="E5" s="2" t="s">
        <v>237</v>
      </c>
      <c r="F5" s="2" t="s">
        <v>358</v>
      </c>
    </row>
    <row r="6" spans="1:6" x14ac:dyDescent="0.15">
      <c r="A6" s="7">
        <v>3</v>
      </c>
      <c r="B6" s="2" t="s">
        <v>10</v>
      </c>
      <c r="C6" s="12" t="s">
        <v>360</v>
      </c>
      <c r="D6" s="2" t="s">
        <v>215</v>
      </c>
      <c r="E6" s="2" t="s">
        <v>361</v>
      </c>
      <c r="F6" s="2" t="s">
        <v>362</v>
      </c>
    </row>
    <row r="7" spans="1:6" x14ac:dyDescent="0.15">
      <c r="A7" s="7" t="s">
        <v>11</v>
      </c>
      <c r="B7" s="2" t="s">
        <v>357</v>
      </c>
      <c r="C7" s="12">
        <v>129</v>
      </c>
      <c r="D7" s="2" t="s">
        <v>216</v>
      </c>
      <c r="E7" s="2" t="s">
        <v>237</v>
      </c>
      <c r="F7" s="2" t="s">
        <v>358</v>
      </c>
    </row>
    <row r="8" spans="1:6" x14ac:dyDescent="0.15">
      <c r="A8" s="7" t="s">
        <v>109</v>
      </c>
      <c r="B8" s="2" t="s">
        <v>351</v>
      </c>
      <c r="C8" s="12">
        <v>109</v>
      </c>
      <c r="D8" s="2" t="s">
        <v>216</v>
      </c>
      <c r="E8" s="2" t="s">
        <v>350</v>
      </c>
    </row>
    <row r="9" spans="1:6" x14ac:dyDescent="0.15">
      <c r="A9" s="7" t="s">
        <v>17</v>
      </c>
      <c r="B9" s="2" t="s">
        <v>117</v>
      </c>
      <c r="C9" s="12">
        <v>142</v>
      </c>
      <c r="D9" s="2" t="s">
        <v>217</v>
      </c>
      <c r="E9" s="2" t="s">
        <v>209</v>
      </c>
    </row>
    <row r="10" spans="1:6" x14ac:dyDescent="0.15">
      <c r="A10" s="7" t="s">
        <v>19</v>
      </c>
      <c r="B10" s="2" t="s">
        <v>369</v>
      </c>
      <c r="C10" s="12">
        <v>163</v>
      </c>
      <c r="D10" s="2" t="s">
        <v>218</v>
      </c>
      <c r="E10" s="2" t="s">
        <v>219</v>
      </c>
    </row>
    <row r="11" spans="1:6" x14ac:dyDescent="0.15">
      <c r="A11" s="7" t="s">
        <v>21</v>
      </c>
      <c r="B11" s="2" t="s">
        <v>349</v>
      </c>
      <c r="C11" s="12">
        <v>108</v>
      </c>
      <c r="D11" s="2" t="s">
        <v>220</v>
      </c>
      <c r="E11" s="2" t="s">
        <v>210</v>
      </c>
    </row>
    <row r="12" spans="1:6" x14ac:dyDescent="0.15">
      <c r="A12" s="7" t="s">
        <v>110</v>
      </c>
      <c r="B12" s="2" t="s">
        <v>348</v>
      </c>
      <c r="C12" s="12">
        <v>557</v>
      </c>
      <c r="D12" s="2" t="s">
        <v>221</v>
      </c>
      <c r="E12" s="2" t="s">
        <v>211</v>
      </c>
    </row>
    <row r="13" spans="1:6" x14ac:dyDescent="0.15">
      <c r="A13" s="7" t="s">
        <v>111</v>
      </c>
      <c r="B13" s="2" t="s">
        <v>365</v>
      </c>
      <c r="C13" s="12">
        <v>100</v>
      </c>
      <c r="D13" s="2" t="s">
        <v>222</v>
      </c>
      <c r="E13" s="2" t="s">
        <v>347</v>
      </c>
      <c r="F13" s="2" t="s">
        <v>359</v>
      </c>
    </row>
    <row r="14" spans="1:6" x14ac:dyDescent="0.15">
      <c r="A14" s="7" t="s">
        <v>31</v>
      </c>
      <c r="B14" s="2" t="s">
        <v>365</v>
      </c>
      <c r="C14" s="12">
        <v>100</v>
      </c>
      <c r="D14" s="2" t="s">
        <v>223</v>
      </c>
      <c r="E14" s="2" t="s">
        <v>347</v>
      </c>
      <c r="F14" s="2" t="s">
        <v>359</v>
      </c>
    </row>
    <row r="15" spans="1:6" x14ac:dyDescent="0.15">
      <c r="A15" s="7" t="s">
        <v>112</v>
      </c>
      <c r="B15" s="2" t="s">
        <v>346</v>
      </c>
      <c r="C15" s="12">
        <v>74</v>
      </c>
      <c r="D15" s="2" t="s">
        <v>224</v>
      </c>
      <c r="E15" s="2" t="s">
        <v>212</v>
      </c>
    </row>
    <row r="16" spans="1:6" x14ac:dyDescent="0.15">
      <c r="A16" s="7" t="s">
        <v>113</v>
      </c>
      <c r="B16" s="2" t="s">
        <v>118</v>
      </c>
      <c r="C16" s="12">
        <v>109</v>
      </c>
      <c r="D16" s="2" t="s">
        <v>226</v>
      </c>
      <c r="E16" s="2" t="s">
        <v>225</v>
      </c>
    </row>
    <row r="17" spans="1:6" x14ac:dyDescent="0.15">
      <c r="A17" s="7" t="s">
        <v>41</v>
      </c>
      <c r="B17" s="2" t="s">
        <v>119</v>
      </c>
      <c r="C17" s="12">
        <v>95</v>
      </c>
      <c r="D17" s="2" t="s">
        <v>228</v>
      </c>
      <c r="E17" s="2" t="s">
        <v>227</v>
      </c>
    </row>
    <row r="18" spans="1:6" x14ac:dyDescent="0.15">
      <c r="A18" s="7" t="s">
        <v>114</v>
      </c>
      <c r="B18" s="2" t="s">
        <v>120</v>
      </c>
      <c r="C18" s="12">
        <v>101</v>
      </c>
      <c r="D18" s="2" t="s">
        <v>229</v>
      </c>
      <c r="E18" s="2" t="s">
        <v>225</v>
      </c>
    </row>
    <row r="19" spans="1:6" x14ac:dyDescent="0.15">
      <c r="A19" s="7" t="s">
        <v>115</v>
      </c>
      <c r="B19" s="2" t="s">
        <v>121</v>
      </c>
      <c r="C19" s="12">
        <v>87</v>
      </c>
      <c r="D19" s="2" t="s">
        <v>230</v>
      </c>
      <c r="E19" s="2" t="s">
        <v>227</v>
      </c>
    </row>
    <row r="20" spans="1:6" x14ac:dyDescent="0.15">
      <c r="A20" s="7" t="s">
        <v>54</v>
      </c>
      <c r="B20" s="2" t="s">
        <v>122</v>
      </c>
      <c r="C20" s="12">
        <v>64</v>
      </c>
      <c r="D20" s="2" t="s">
        <v>231</v>
      </c>
      <c r="E20" s="2" t="s">
        <v>213</v>
      </c>
    </row>
    <row r="21" spans="1:6" x14ac:dyDescent="0.15">
      <c r="A21" s="7" t="s">
        <v>56</v>
      </c>
      <c r="B21" s="2" t="s">
        <v>123</v>
      </c>
      <c r="C21" s="12" t="e">
        <f>NA()</f>
        <v>#N/A</v>
      </c>
      <c r="D21" s="2" t="s">
        <v>235</v>
      </c>
      <c r="E21" s="2" t="e">
        <f>NA()</f>
        <v>#N/A</v>
      </c>
      <c r="F21" s="2" t="s">
        <v>236</v>
      </c>
    </row>
    <row r="22" spans="1:6" x14ac:dyDescent="0.15">
      <c r="A22" s="7" t="s">
        <v>116</v>
      </c>
      <c r="B22" s="2" t="s">
        <v>124</v>
      </c>
      <c r="C22" s="12" t="e">
        <f>NA()</f>
        <v>#N/A</v>
      </c>
      <c r="D22" s="2" t="s">
        <v>234</v>
      </c>
      <c r="E22" s="2" t="e">
        <f>NA()</f>
        <v>#N/A</v>
      </c>
      <c r="F22" s="2" t="s">
        <v>236</v>
      </c>
    </row>
    <row r="23" spans="1:6" x14ac:dyDescent="0.15">
      <c r="A23" s="7" t="s">
        <v>62</v>
      </c>
      <c r="B23" s="2" t="s">
        <v>125</v>
      </c>
      <c r="C23" s="12">
        <v>38</v>
      </c>
      <c r="D23" s="2" t="s">
        <v>233</v>
      </c>
      <c r="E23" s="2" t="s">
        <v>363</v>
      </c>
      <c r="F23" s="2" t="s">
        <v>364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2"/>
  <sheetViews>
    <sheetView tabSelected="1" zoomScale="120" zoomScaleNormal="120" workbookViewId="0">
      <selection activeCell="C10" sqref="C10"/>
    </sheetView>
  </sheetViews>
  <sheetFormatPr baseColWidth="10" defaultColWidth="8.83203125" defaultRowHeight="15" x14ac:dyDescent="0.2"/>
  <cols>
    <col min="1" max="1" width="9.5" customWidth="1"/>
    <col min="2" max="2" width="31.83203125" bestFit="1" customWidth="1"/>
    <col min="3" max="3" width="14.5" customWidth="1"/>
    <col min="4" max="4" width="92" bestFit="1" customWidth="1"/>
    <col min="5" max="5" width="47.83203125" bestFit="1" customWidth="1"/>
    <col min="6" max="6" width="19.33203125" bestFit="1" customWidth="1"/>
    <col min="7" max="7" width="11.5" customWidth="1"/>
  </cols>
  <sheetData>
    <row r="1" spans="1:7" ht="23" x14ac:dyDescent="0.25">
      <c r="A1" s="8" t="s">
        <v>342</v>
      </c>
      <c r="B1" s="11"/>
      <c r="C1" s="11"/>
      <c r="D1" s="11"/>
      <c r="E1" s="11"/>
      <c r="F1" s="11"/>
    </row>
    <row r="2" spans="1:7" ht="3" customHeight="1" x14ac:dyDescent="0.2"/>
    <row r="3" spans="1:7" x14ac:dyDescent="0.2">
      <c r="A3" s="4" t="s">
        <v>0</v>
      </c>
      <c r="B3" s="4" t="s">
        <v>344</v>
      </c>
      <c r="C3" s="4" t="s">
        <v>352</v>
      </c>
      <c r="D3" s="4" t="s">
        <v>126</v>
      </c>
      <c r="E3" s="4" t="s">
        <v>131</v>
      </c>
      <c r="F3" s="4" t="s">
        <v>345</v>
      </c>
      <c r="G3" s="4" t="s">
        <v>132</v>
      </c>
    </row>
    <row r="4" spans="1:7" x14ac:dyDescent="0.2">
      <c r="A4" s="7" t="s">
        <v>3</v>
      </c>
      <c r="B4" s="2" t="s">
        <v>2</v>
      </c>
      <c r="C4" s="12">
        <v>649</v>
      </c>
      <c r="D4" s="2" t="s">
        <v>127</v>
      </c>
      <c r="E4" s="2" t="s">
        <v>130</v>
      </c>
      <c r="F4" s="2" t="s">
        <v>191</v>
      </c>
      <c r="G4" s="2" t="s">
        <v>353</v>
      </c>
    </row>
    <row r="5" spans="1:7" x14ac:dyDescent="0.2">
      <c r="A5" s="7" t="s">
        <v>4</v>
      </c>
      <c r="B5" s="2" t="s">
        <v>7</v>
      </c>
      <c r="C5" s="12">
        <v>591</v>
      </c>
      <c r="D5" s="2" t="s">
        <v>127</v>
      </c>
      <c r="E5" s="2" t="s">
        <v>151</v>
      </c>
      <c r="F5" s="2" t="s">
        <v>191</v>
      </c>
      <c r="G5" s="2" t="s">
        <v>353</v>
      </c>
    </row>
    <row r="6" spans="1:7" x14ac:dyDescent="0.2">
      <c r="A6" s="7" t="s">
        <v>5</v>
      </c>
      <c r="B6" s="2" t="s">
        <v>373</v>
      </c>
      <c r="C6" s="12">
        <v>213</v>
      </c>
      <c r="D6" s="2" t="s">
        <v>127</v>
      </c>
      <c r="E6" s="2" t="s">
        <v>134</v>
      </c>
      <c r="F6" s="2" t="s">
        <v>129</v>
      </c>
      <c r="G6" s="2"/>
    </row>
    <row r="7" spans="1:7" x14ac:dyDescent="0.2">
      <c r="A7" s="7" t="s">
        <v>6</v>
      </c>
      <c r="B7" s="2" t="s">
        <v>8</v>
      </c>
      <c r="C7" s="12">
        <v>206</v>
      </c>
      <c r="D7" s="2" t="s">
        <v>127</v>
      </c>
      <c r="E7" s="2" t="s">
        <v>135</v>
      </c>
      <c r="F7" s="2" t="s">
        <v>192</v>
      </c>
      <c r="G7" s="2"/>
    </row>
    <row r="8" spans="1:7" x14ac:dyDescent="0.2">
      <c r="A8" s="7">
        <v>2</v>
      </c>
      <c r="B8" s="2" t="s">
        <v>9</v>
      </c>
      <c r="C8" s="12">
        <v>210</v>
      </c>
      <c r="D8" s="2" t="s">
        <v>136</v>
      </c>
      <c r="E8" s="2" t="e">
        <f>NA()</f>
        <v>#N/A</v>
      </c>
      <c r="F8" s="2" t="s">
        <v>300</v>
      </c>
      <c r="G8" s="2" t="s">
        <v>353</v>
      </c>
    </row>
    <row r="9" spans="1:7" x14ac:dyDescent="0.2">
      <c r="A9" s="7" t="s">
        <v>11</v>
      </c>
      <c r="B9" s="2" t="s">
        <v>12</v>
      </c>
      <c r="C9" s="12">
        <v>136</v>
      </c>
      <c r="D9" s="2" t="s">
        <v>138</v>
      </c>
      <c r="E9" s="2" t="e">
        <f>NA()</f>
        <v>#N/A</v>
      </c>
      <c r="F9" s="2" t="s">
        <v>137</v>
      </c>
      <c r="G9" s="2"/>
    </row>
    <row r="10" spans="1:7" ht="29" x14ac:dyDescent="0.2">
      <c r="A10" s="7" t="s">
        <v>13</v>
      </c>
      <c r="B10" s="2" t="s">
        <v>14</v>
      </c>
      <c r="C10" s="12">
        <v>256</v>
      </c>
      <c r="D10" s="6" t="s">
        <v>140</v>
      </c>
      <c r="E10" s="2" t="s">
        <v>141</v>
      </c>
      <c r="F10" s="2" t="s">
        <v>139</v>
      </c>
      <c r="G10" s="2"/>
    </row>
    <row r="11" spans="1:7" ht="29" x14ac:dyDescent="0.2">
      <c r="A11" s="7" t="s">
        <v>15</v>
      </c>
      <c r="B11" s="2" t="s">
        <v>16</v>
      </c>
      <c r="C11" s="12">
        <v>256</v>
      </c>
      <c r="D11" s="6" t="s">
        <v>140</v>
      </c>
      <c r="E11" s="2" t="s">
        <v>142</v>
      </c>
      <c r="F11" s="2" t="s">
        <v>139</v>
      </c>
      <c r="G11" s="2"/>
    </row>
    <row r="12" spans="1:7" x14ac:dyDescent="0.2">
      <c r="A12" s="7" t="s">
        <v>17</v>
      </c>
      <c r="B12" s="2" t="s">
        <v>18</v>
      </c>
      <c r="C12" s="12">
        <v>98</v>
      </c>
      <c r="D12" s="2" t="s">
        <v>143</v>
      </c>
      <c r="E12" s="2" t="e">
        <f>NA()</f>
        <v>#N/A</v>
      </c>
      <c r="F12" s="2" t="s">
        <v>144</v>
      </c>
      <c r="G12" s="2"/>
    </row>
    <row r="13" spans="1:7" x14ac:dyDescent="0.2">
      <c r="A13" s="7" t="s">
        <v>19</v>
      </c>
      <c r="B13" s="2" t="s">
        <v>20</v>
      </c>
      <c r="C13" s="12">
        <v>141</v>
      </c>
      <c r="D13" s="2" t="s">
        <v>146</v>
      </c>
      <c r="E13" s="2" t="e">
        <f>NA()</f>
        <v>#N/A</v>
      </c>
      <c r="F13" s="2" t="s">
        <v>145</v>
      </c>
      <c r="G13" s="2"/>
    </row>
    <row r="14" spans="1:7" x14ac:dyDescent="0.2">
      <c r="A14" s="7" t="s">
        <v>21</v>
      </c>
      <c r="B14" s="2" t="s">
        <v>22</v>
      </c>
      <c r="C14" s="12">
        <v>181</v>
      </c>
      <c r="D14" s="2" t="s">
        <v>147</v>
      </c>
      <c r="E14" s="2" t="e">
        <f>NA()</f>
        <v>#N/A</v>
      </c>
      <c r="F14" s="2" t="s">
        <v>148</v>
      </c>
      <c r="G14" s="2"/>
    </row>
    <row r="15" spans="1:7" x14ac:dyDescent="0.2">
      <c r="A15" s="7" t="s">
        <v>23</v>
      </c>
      <c r="B15" s="2" t="s">
        <v>24</v>
      </c>
      <c r="C15" s="12">
        <v>299</v>
      </c>
      <c r="D15" s="2" t="s">
        <v>150</v>
      </c>
      <c r="E15" s="2" t="s">
        <v>130</v>
      </c>
      <c r="F15" s="2" t="s">
        <v>133</v>
      </c>
      <c r="G15" s="2"/>
    </row>
    <row r="16" spans="1:7" x14ac:dyDescent="0.2">
      <c r="A16" s="7" t="s">
        <v>25</v>
      </c>
      <c r="B16" s="2" t="s">
        <v>26</v>
      </c>
      <c r="C16" s="12">
        <v>283</v>
      </c>
      <c r="D16" s="2" t="s">
        <v>150</v>
      </c>
      <c r="E16" s="2" t="s">
        <v>151</v>
      </c>
      <c r="F16" s="2" t="s">
        <v>133</v>
      </c>
      <c r="G16" s="2" t="s">
        <v>353</v>
      </c>
    </row>
    <row r="17" spans="1:7" x14ac:dyDescent="0.2">
      <c r="A17" s="7" t="s">
        <v>27</v>
      </c>
      <c r="B17" s="2" t="s">
        <v>28</v>
      </c>
      <c r="C17" s="12">
        <v>226</v>
      </c>
      <c r="D17" s="2" t="s">
        <v>152</v>
      </c>
      <c r="E17" s="2" t="s">
        <v>130</v>
      </c>
      <c r="F17" s="2" t="s">
        <v>153</v>
      </c>
      <c r="G17" s="2"/>
    </row>
    <row r="18" spans="1:7" x14ac:dyDescent="0.2">
      <c r="A18" s="7" t="s">
        <v>29</v>
      </c>
      <c r="B18" s="2" t="s">
        <v>30</v>
      </c>
      <c r="C18" s="12">
        <v>226</v>
      </c>
      <c r="D18" s="2" t="s">
        <v>152</v>
      </c>
      <c r="E18" s="2" t="s">
        <v>151</v>
      </c>
      <c r="F18" s="2" t="s">
        <v>153</v>
      </c>
      <c r="G18" s="2"/>
    </row>
    <row r="19" spans="1:7" x14ac:dyDescent="0.2">
      <c r="A19" s="7" t="s">
        <v>31</v>
      </c>
      <c r="B19" s="2" t="s">
        <v>32</v>
      </c>
      <c r="C19" s="12">
        <v>231</v>
      </c>
      <c r="D19" s="2" t="s">
        <v>155</v>
      </c>
      <c r="E19" s="2" t="e">
        <f>NA()</f>
        <v>#N/A</v>
      </c>
      <c r="F19" s="2" t="s">
        <v>156</v>
      </c>
      <c r="G19" s="2" t="s">
        <v>354</v>
      </c>
    </row>
    <row r="20" spans="1:7" x14ac:dyDescent="0.2">
      <c r="A20" s="7" t="s">
        <v>33</v>
      </c>
      <c r="B20" s="2" t="s">
        <v>34</v>
      </c>
      <c r="C20" s="12">
        <v>221</v>
      </c>
      <c r="D20" s="2" t="s">
        <v>157</v>
      </c>
      <c r="E20" s="2" t="s">
        <v>130</v>
      </c>
      <c r="F20" s="2" t="s">
        <v>154</v>
      </c>
      <c r="G20" s="2"/>
    </row>
    <row r="21" spans="1:7" x14ac:dyDescent="0.2">
      <c r="A21" s="7" t="s">
        <v>35</v>
      </c>
      <c r="B21" s="2" t="s">
        <v>36</v>
      </c>
      <c r="C21" s="12">
        <v>221</v>
      </c>
      <c r="D21" s="2" t="s">
        <v>157</v>
      </c>
      <c r="E21" s="2" t="s">
        <v>151</v>
      </c>
      <c r="F21" s="2" t="s">
        <v>154</v>
      </c>
      <c r="G21" s="2"/>
    </row>
    <row r="22" spans="1:7" x14ac:dyDescent="0.2">
      <c r="A22" s="7" t="s">
        <v>37</v>
      </c>
      <c r="B22" s="2" t="s">
        <v>39</v>
      </c>
      <c r="C22" s="12">
        <v>189</v>
      </c>
      <c r="D22" s="2" t="s">
        <v>158</v>
      </c>
      <c r="E22" s="2" t="s">
        <v>141</v>
      </c>
      <c r="F22" s="2" t="s">
        <v>160</v>
      </c>
      <c r="G22" s="2"/>
    </row>
    <row r="23" spans="1:7" x14ac:dyDescent="0.2">
      <c r="A23" s="7" t="s">
        <v>38</v>
      </c>
      <c r="B23" s="2" t="s">
        <v>40</v>
      </c>
      <c r="C23" s="12">
        <v>189</v>
      </c>
      <c r="D23" s="2" t="s">
        <v>158</v>
      </c>
      <c r="E23" s="2" t="s">
        <v>142</v>
      </c>
      <c r="F23" s="2" t="s">
        <v>160</v>
      </c>
      <c r="G23" s="2"/>
    </row>
    <row r="24" spans="1:7" x14ac:dyDescent="0.2">
      <c r="A24" s="7" t="s">
        <v>42</v>
      </c>
      <c r="B24" s="2" t="s">
        <v>43</v>
      </c>
      <c r="C24" s="12">
        <v>200</v>
      </c>
      <c r="D24" s="2" t="s">
        <v>162</v>
      </c>
      <c r="E24" s="2" t="s">
        <v>163</v>
      </c>
      <c r="F24" s="2" t="s">
        <v>149</v>
      </c>
      <c r="G24" s="2"/>
    </row>
    <row r="25" spans="1:7" x14ac:dyDescent="0.2">
      <c r="A25" s="7" t="s">
        <v>44</v>
      </c>
      <c r="B25" s="2" t="s">
        <v>45</v>
      </c>
      <c r="C25" s="12">
        <v>199</v>
      </c>
      <c r="D25" s="2" t="s">
        <v>162</v>
      </c>
      <c r="E25" s="2" t="s">
        <v>164</v>
      </c>
      <c r="F25" s="2" t="s">
        <v>159</v>
      </c>
      <c r="G25" s="2"/>
    </row>
    <row r="26" spans="1:7" x14ac:dyDescent="0.2">
      <c r="A26" s="7" t="s">
        <v>46</v>
      </c>
      <c r="B26" s="2" t="s">
        <v>47</v>
      </c>
      <c r="C26" s="12">
        <v>204</v>
      </c>
      <c r="D26" s="2" t="s">
        <v>165</v>
      </c>
      <c r="E26" s="2" t="s">
        <v>166</v>
      </c>
      <c r="F26" s="2" t="s">
        <v>168</v>
      </c>
      <c r="G26" s="2" t="s">
        <v>353</v>
      </c>
    </row>
    <row r="27" spans="1:7" x14ac:dyDescent="0.2">
      <c r="A27" s="7" t="s">
        <v>48</v>
      </c>
      <c r="B27" s="2" t="s">
        <v>49</v>
      </c>
      <c r="C27" s="12">
        <v>204</v>
      </c>
      <c r="D27" s="2" t="s">
        <v>165</v>
      </c>
      <c r="E27" s="2" t="s">
        <v>167</v>
      </c>
      <c r="F27" s="2" t="s">
        <v>168</v>
      </c>
      <c r="G27" s="2" t="s">
        <v>353</v>
      </c>
    </row>
    <row r="28" spans="1:7" x14ac:dyDescent="0.2">
      <c r="A28" s="7" t="s">
        <v>50</v>
      </c>
      <c r="B28" s="2" t="s">
        <v>51</v>
      </c>
      <c r="C28" s="12">
        <v>169</v>
      </c>
      <c r="D28" s="2" t="s">
        <v>170</v>
      </c>
      <c r="E28" s="2" t="s">
        <v>166</v>
      </c>
      <c r="F28" s="2" t="s">
        <v>169</v>
      </c>
      <c r="G28" s="2" t="s">
        <v>353</v>
      </c>
    </row>
    <row r="29" spans="1:7" x14ac:dyDescent="0.2">
      <c r="A29" s="7" t="s">
        <v>52</v>
      </c>
      <c r="B29" s="2" t="s">
        <v>53</v>
      </c>
      <c r="C29" s="12">
        <v>169</v>
      </c>
      <c r="D29" s="2" t="s">
        <v>170</v>
      </c>
      <c r="E29" s="2" t="s">
        <v>167</v>
      </c>
      <c r="F29" s="2" t="s">
        <v>169</v>
      </c>
      <c r="G29" s="2" t="s">
        <v>353</v>
      </c>
    </row>
    <row r="30" spans="1:7" x14ac:dyDescent="0.2">
      <c r="A30" s="7" t="s">
        <v>54</v>
      </c>
      <c r="B30" s="2" t="s">
        <v>55</v>
      </c>
      <c r="C30" s="12">
        <v>137</v>
      </c>
      <c r="D30" s="2" t="s">
        <v>171</v>
      </c>
      <c r="E30" s="2" t="e">
        <f>NA()</f>
        <v>#N/A</v>
      </c>
      <c r="F30" s="2" t="s">
        <v>172</v>
      </c>
      <c r="G30" s="2"/>
    </row>
    <row r="31" spans="1:7" x14ac:dyDescent="0.2">
      <c r="A31" s="7" t="s">
        <v>56</v>
      </c>
      <c r="B31" s="2" t="s">
        <v>57</v>
      </c>
      <c r="C31" s="12">
        <v>169</v>
      </c>
      <c r="D31" s="2" t="s">
        <v>173</v>
      </c>
      <c r="E31" s="2" t="e">
        <f>NA()</f>
        <v>#N/A</v>
      </c>
      <c r="F31" s="2" t="s">
        <v>174</v>
      </c>
      <c r="G31" s="2"/>
    </row>
    <row r="32" spans="1:7" x14ac:dyDescent="0.2">
      <c r="A32" s="7" t="s">
        <v>58</v>
      </c>
      <c r="B32" s="2" t="s">
        <v>59</v>
      </c>
      <c r="C32" s="12">
        <v>267</v>
      </c>
      <c r="D32" s="2" t="s">
        <v>175</v>
      </c>
      <c r="E32" s="2" t="s">
        <v>130</v>
      </c>
      <c r="F32" s="2" t="s">
        <v>161</v>
      </c>
      <c r="G32" s="2"/>
    </row>
    <row r="33" spans="1:7" ht="16.25" customHeight="1" x14ac:dyDescent="0.2">
      <c r="A33" s="7" t="s">
        <v>60</v>
      </c>
      <c r="B33" s="2" t="s">
        <v>61</v>
      </c>
      <c r="C33" s="12">
        <v>267</v>
      </c>
      <c r="D33" s="2" t="s">
        <v>175</v>
      </c>
      <c r="E33" s="2" t="s">
        <v>151</v>
      </c>
      <c r="F33" s="2" t="s">
        <v>161</v>
      </c>
      <c r="G33" s="2"/>
    </row>
    <row r="34" spans="1:7" x14ac:dyDescent="0.2">
      <c r="A34" s="7" t="s">
        <v>62</v>
      </c>
      <c r="B34" s="2" t="s">
        <v>63</v>
      </c>
      <c r="C34" s="12">
        <v>132</v>
      </c>
      <c r="D34" s="2" t="s">
        <v>177</v>
      </c>
      <c r="E34" s="2" t="e">
        <f>NA()</f>
        <v>#N/A</v>
      </c>
      <c r="F34" s="2" t="s">
        <v>178</v>
      </c>
      <c r="G34" s="2"/>
    </row>
    <row r="35" spans="1:7" x14ac:dyDescent="0.2">
      <c r="A35" s="7" t="s">
        <v>64</v>
      </c>
      <c r="B35" s="2" t="s">
        <v>65</v>
      </c>
      <c r="C35" s="12">
        <v>126</v>
      </c>
      <c r="D35" s="2" t="s">
        <v>179</v>
      </c>
      <c r="E35" s="2" t="e">
        <f>NA()</f>
        <v>#N/A</v>
      </c>
      <c r="F35" s="2" t="s">
        <v>180</v>
      </c>
      <c r="G35" s="2"/>
    </row>
    <row r="36" spans="1:7" x14ac:dyDescent="0.2">
      <c r="A36" s="7" t="s">
        <v>66</v>
      </c>
      <c r="B36" s="2" t="s">
        <v>67</v>
      </c>
      <c r="C36" s="12">
        <v>118</v>
      </c>
      <c r="D36" s="2" t="s">
        <v>181</v>
      </c>
      <c r="E36" s="2" t="e">
        <f>NA()</f>
        <v>#N/A</v>
      </c>
      <c r="F36" s="2" t="s">
        <v>182</v>
      </c>
      <c r="G36" s="2"/>
    </row>
    <row r="37" spans="1:7" x14ac:dyDescent="0.2">
      <c r="A37" s="7" t="s">
        <v>68</v>
      </c>
      <c r="B37" s="2" t="s">
        <v>69</v>
      </c>
      <c r="C37" s="12">
        <v>156</v>
      </c>
      <c r="D37" s="2" t="s">
        <v>183</v>
      </c>
      <c r="E37" s="2" t="e">
        <f>NA()</f>
        <v>#N/A</v>
      </c>
      <c r="F37" s="2" t="s">
        <v>184</v>
      </c>
      <c r="G37" s="2"/>
    </row>
    <row r="38" spans="1:7" x14ac:dyDescent="0.2">
      <c r="A38" s="7" t="s">
        <v>71</v>
      </c>
      <c r="B38" s="2" t="s">
        <v>70</v>
      </c>
      <c r="C38" s="12">
        <v>255</v>
      </c>
      <c r="D38" s="2" t="s">
        <v>185</v>
      </c>
      <c r="E38" s="2" t="s">
        <v>130</v>
      </c>
      <c r="F38" s="2" t="s">
        <v>176</v>
      </c>
      <c r="G38" s="2"/>
    </row>
    <row r="39" spans="1:7" x14ac:dyDescent="0.2">
      <c r="A39" s="7" t="s">
        <v>72</v>
      </c>
      <c r="B39" s="2" t="s">
        <v>73</v>
      </c>
      <c r="C39" s="12">
        <v>255</v>
      </c>
      <c r="D39" s="2" t="s">
        <v>185</v>
      </c>
      <c r="E39" s="2" t="s">
        <v>151</v>
      </c>
      <c r="F39" s="2" t="s">
        <v>176</v>
      </c>
      <c r="G39" s="2"/>
    </row>
    <row r="40" spans="1:7" x14ac:dyDescent="0.2">
      <c r="A40" s="7" t="s">
        <v>74</v>
      </c>
      <c r="B40" s="2" t="s">
        <v>75</v>
      </c>
      <c r="C40" s="12">
        <v>187</v>
      </c>
      <c r="D40" s="2" t="s">
        <v>186</v>
      </c>
      <c r="E40" s="2" t="e">
        <f>NA()</f>
        <v>#N/A</v>
      </c>
      <c r="F40" s="2" t="s">
        <v>187</v>
      </c>
      <c r="G40" s="2"/>
    </row>
    <row r="41" spans="1:7" x14ac:dyDescent="0.2">
      <c r="A41" s="7" t="s">
        <v>76</v>
      </c>
      <c r="B41" s="2" t="s">
        <v>80</v>
      </c>
      <c r="C41" s="12">
        <v>649</v>
      </c>
      <c r="D41" s="2" t="s">
        <v>188</v>
      </c>
      <c r="E41" s="2" t="s">
        <v>130</v>
      </c>
      <c r="F41" s="2" t="s">
        <v>191</v>
      </c>
      <c r="G41" s="2"/>
    </row>
    <row r="42" spans="1:7" x14ac:dyDescent="0.2">
      <c r="A42" s="7" t="s">
        <v>77</v>
      </c>
      <c r="B42" s="2" t="s">
        <v>81</v>
      </c>
      <c r="C42" s="12">
        <v>591</v>
      </c>
      <c r="D42" s="2" t="s">
        <v>188</v>
      </c>
      <c r="E42" s="2" t="s">
        <v>151</v>
      </c>
      <c r="F42" s="2" t="s">
        <v>191</v>
      </c>
      <c r="G42" s="2"/>
    </row>
    <row r="43" spans="1:7" x14ac:dyDescent="0.2">
      <c r="A43" s="7" t="s">
        <v>78</v>
      </c>
      <c r="B43" s="2" t="s">
        <v>372</v>
      </c>
      <c r="C43" s="12">
        <v>213</v>
      </c>
      <c r="D43" s="2" t="s">
        <v>188</v>
      </c>
      <c r="E43" s="2" t="s">
        <v>189</v>
      </c>
      <c r="F43" s="2" t="s">
        <v>355</v>
      </c>
      <c r="G43" s="2" t="s">
        <v>366</v>
      </c>
    </row>
    <row r="44" spans="1:7" x14ac:dyDescent="0.2">
      <c r="A44" s="7" t="s">
        <v>79</v>
      </c>
      <c r="B44" s="2" t="s">
        <v>82</v>
      </c>
      <c r="C44" s="12">
        <v>291</v>
      </c>
      <c r="D44" s="2" t="s">
        <v>188</v>
      </c>
      <c r="E44" s="2" t="s">
        <v>190</v>
      </c>
      <c r="F44" s="2" t="s">
        <v>300</v>
      </c>
      <c r="G44" s="2"/>
    </row>
    <row r="45" spans="1:7" x14ac:dyDescent="0.2">
      <c r="A45" s="7" t="s">
        <v>83</v>
      </c>
      <c r="B45" s="2" t="s">
        <v>84</v>
      </c>
      <c r="C45" s="12">
        <v>241</v>
      </c>
      <c r="D45" s="2" t="s">
        <v>193</v>
      </c>
      <c r="E45" s="2" t="s">
        <v>130</v>
      </c>
      <c r="F45" s="2" t="s">
        <v>194</v>
      </c>
      <c r="G45" s="2"/>
    </row>
    <row r="46" spans="1:7" x14ac:dyDescent="0.2">
      <c r="A46" s="7" t="s">
        <v>85</v>
      </c>
      <c r="B46" s="2" t="s">
        <v>86</v>
      </c>
      <c r="C46" s="12">
        <v>241</v>
      </c>
      <c r="D46" s="2" t="s">
        <v>193</v>
      </c>
      <c r="E46" s="2" t="s">
        <v>151</v>
      </c>
      <c r="F46" s="2" t="s">
        <v>194</v>
      </c>
      <c r="G46" s="2"/>
    </row>
    <row r="47" spans="1:7" ht="16.25" customHeight="1" x14ac:dyDescent="0.2">
      <c r="A47" s="7" t="s">
        <v>87</v>
      </c>
      <c r="B47" s="2" t="s">
        <v>88</v>
      </c>
      <c r="C47" s="12">
        <v>141</v>
      </c>
      <c r="D47" s="2" t="s">
        <v>195</v>
      </c>
      <c r="E47" s="2" t="e">
        <f>NA()</f>
        <v>#N/A</v>
      </c>
      <c r="F47" s="2" t="s">
        <v>196</v>
      </c>
      <c r="G47" s="2"/>
    </row>
    <row r="48" spans="1:7" x14ac:dyDescent="0.2">
      <c r="A48" s="7" t="s">
        <v>89</v>
      </c>
      <c r="B48" s="2" t="s">
        <v>90</v>
      </c>
      <c r="C48" s="12">
        <v>183</v>
      </c>
      <c r="D48" s="2" t="s">
        <v>197</v>
      </c>
      <c r="E48" s="2" t="s">
        <v>130</v>
      </c>
      <c r="F48" s="2" t="s">
        <v>198</v>
      </c>
      <c r="G48" s="2"/>
    </row>
    <row r="49" spans="1:7" x14ac:dyDescent="0.2">
      <c r="A49" s="7" t="s">
        <v>91</v>
      </c>
      <c r="B49" s="2" t="s">
        <v>92</v>
      </c>
      <c r="C49" s="12">
        <v>183</v>
      </c>
      <c r="D49" s="2" t="s">
        <v>197</v>
      </c>
      <c r="E49" s="2" t="s">
        <v>151</v>
      </c>
      <c r="F49" s="2" t="s">
        <v>198</v>
      </c>
      <c r="G49" s="2"/>
    </row>
    <row r="50" spans="1:7" x14ac:dyDescent="0.2">
      <c r="A50" s="7" t="s">
        <v>93</v>
      </c>
      <c r="B50" s="2" t="s">
        <v>95</v>
      </c>
      <c r="C50" s="12">
        <v>220</v>
      </c>
      <c r="D50" s="2" t="s">
        <v>200</v>
      </c>
      <c r="E50" s="2" t="s">
        <v>130</v>
      </c>
      <c r="F50" s="2" t="s">
        <v>199</v>
      </c>
      <c r="G50" s="2"/>
    </row>
    <row r="51" spans="1:7" x14ac:dyDescent="0.2">
      <c r="A51" s="7" t="s">
        <v>94</v>
      </c>
      <c r="B51" s="2" t="s">
        <v>96</v>
      </c>
      <c r="C51" s="12">
        <v>220</v>
      </c>
      <c r="D51" s="2" t="s">
        <v>200</v>
      </c>
      <c r="E51" s="2" t="s">
        <v>151</v>
      </c>
      <c r="F51" s="2" t="s">
        <v>199</v>
      </c>
      <c r="G51" s="2"/>
    </row>
    <row r="52" spans="1:7" x14ac:dyDescent="0.2">
      <c r="A52" s="7" t="s">
        <v>97</v>
      </c>
      <c r="B52" s="2" t="s">
        <v>99</v>
      </c>
      <c r="C52" s="12">
        <v>525</v>
      </c>
      <c r="D52" s="2" t="s">
        <v>201</v>
      </c>
      <c r="E52" s="2" t="s">
        <v>130</v>
      </c>
      <c r="F52" s="2" t="s">
        <v>191</v>
      </c>
      <c r="G52" s="2"/>
    </row>
    <row r="53" spans="1:7" x14ac:dyDescent="0.2">
      <c r="A53" s="7" t="s">
        <v>98</v>
      </c>
      <c r="B53" s="2" t="s">
        <v>100</v>
      </c>
      <c r="C53" s="12">
        <v>452</v>
      </c>
      <c r="D53" s="2" t="s">
        <v>201</v>
      </c>
      <c r="E53" s="2" t="s">
        <v>151</v>
      </c>
      <c r="F53" s="2" t="s">
        <v>191</v>
      </c>
      <c r="G53" s="2"/>
    </row>
    <row r="54" spans="1:7" x14ac:dyDescent="0.2">
      <c r="A54" s="7" t="s">
        <v>101</v>
      </c>
      <c r="B54" s="2" t="s">
        <v>103</v>
      </c>
      <c r="C54" s="12">
        <v>186</v>
      </c>
      <c r="D54" s="2" t="s">
        <v>207</v>
      </c>
      <c r="E54" s="2" t="s">
        <v>141</v>
      </c>
      <c r="F54" s="2" t="s">
        <v>206</v>
      </c>
      <c r="G54" s="2"/>
    </row>
    <row r="55" spans="1:7" x14ac:dyDescent="0.2">
      <c r="A55" s="7" t="s">
        <v>102</v>
      </c>
      <c r="B55" s="2" t="s">
        <v>371</v>
      </c>
      <c r="C55" s="12">
        <v>186</v>
      </c>
      <c r="D55" s="2" t="s">
        <v>207</v>
      </c>
      <c r="E55" s="2" t="s">
        <v>142</v>
      </c>
      <c r="F55" s="2" t="s">
        <v>206</v>
      </c>
      <c r="G55" s="2"/>
    </row>
    <row r="56" spans="1:7" x14ac:dyDescent="0.2">
      <c r="A56" s="7" t="s">
        <v>104</v>
      </c>
      <c r="B56" s="2" t="s">
        <v>105</v>
      </c>
      <c r="C56" s="12">
        <v>209</v>
      </c>
      <c r="D56" s="2" t="s">
        <v>202</v>
      </c>
      <c r="E56" s="2" t="e">
        <f>NA()</f>
        <v>#N/A</v>
      </c>
      <c r="F56" s="2" t="s">
        <v>203</v>
      </c>
      <c r="G56" s="2"/>
    </row>
    <row r="57" spans="1:7" x14ac:dyDescent="0.2">
      <c r="A57" s="7" t="s">
        <v>106</v>
      </c>
      <c r="B57" s="2" t="s">
        <v>107</v>
      </c>
      <c r="C57" s="12">
        <v>131</v>
      </c>
      <c r="D57" s="2" t="s">
        <v>204</v>
      </c>
      <c r="E57" s="2" t="e">
        <f>NA()</f>
        <v>#N/A</v>
      </c>
      <c r="F57" s="2" t="s">
        <v>205</v>
      </c>
      <c r="G57" s="2" t="s">
        <v>353</v>
      </c>
    </row>
    <row r="58" spans="1:7" x14ac:dyDescent="0.2">
      <c r="A58" s="7" t="s">
        <v>108</v>
      </c>
      <c r="B58" s="2" t="s">
        <v>370</v>
      </c>
      <c r="C58" s="12">
        <v>126</v>
      </c>
      <c r="D58" s="2" t="s">
        <v>301</v>
      </c>
      <c r="E58" s="2"/>
      <c r="F58" s="2" t="s">
        <v>232</v>
      </c>
      <c r="G58" s="2"/>
    </row>
    <row r="59" spans="1:7" x14ac:dyDescent="0.2">
      <c r="G59" s="2"/>
    </row>
    <row r="60" spans="1:7" x14ac:dyDescent="0.2">
      <c r="G60" s="2"/>
    </row>
    <row r="61" spans="1:7" x14ac:dyDescent="0.2">
      <c r="G61" s="2"/>
    </row>
    <row r="62" spans="1:7" x14ac:dyDescent="0.2">
      <c r="G62" s="2"/>
    </row>
    <row r="63" spans="1:7" x14ac:dyDescent="0.2">
      <c r="G63" s="2"/>
    </row>
    <row r="64" spans="1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zoomScale="70" zoomScaleNormal="70" workbookViewId="0">
      <selection activeCell="B29" sqref="B29"/>
    </sheetView>
  </sheetViews>
  <sheetFormatPr baseColWidth="10" defaultColWidth="8.83203125" defaultRowHeight="15" outlineLevelCol="1" x14ac:dyDescent="0.2"/>
  <cols>
    <col min="1" max="1" width="60.83203125" customWidth="1"/>
    <col min="2" max="2" width="52" bestFit="1" customWidth="1"/>
    <col min="3" max="3" width="6.5" customWidth="1"/>
    <col min="4" max="4" width="108.1640625" customWidth="1" outlineLevel="1"/>
    <col min="5" max="5" width="151.33203125" bestFit="1" customWidth="1"/>
    <col min="6" max="6" width="66.33203125" bestFit="1" customWidth="1"/>
  </cols>
  <sheetData>
    <row r="1" spans="1:6" ht="24" x14ac:dyDescent="0.3">
      <c r="A1" s="8" t="s">
        <v>341</v>
      </c>
      <c r="B1" s="9"/>
      <c r="C1" s="9"/>
      <c r="D1" s="9"/>
      <c r="E1" s="9"/>
      <c r="F1" s="9"/>
    </row>
    <row r="2" spans="1:6" ht="3" customHeight="1" x14ac:dyDescent="0.2"/>
    <row r="3" spans="1:6" x14ac:dyDescent="0.2">
      <c r="A3" s="4" t="s">
        <v>308</v>
      </c>
      <c r="B3" s="4" t="s">
        <v>309</v>
      </c>
      <c r="C3" s="4" t="s">
        <v>334</v>
      </c>
      <c r="D3" s="4" t="s">
        <v>302</v>
      </c>
      <c r="E3" s="4" t="s">
        <v>310</v>
      </c>
      <c r="F3" s="4" t="s">
        <v>132</v>
      </c>
    </row>
    <row r="4" spans="1:6" x14ac:dyDescent="0.2">
      <c r="A4" s="2" t="s">
        <v>335</v>
      </c>
      <c r="B4" s="1" t="s">
        <v>238</v>
      </c>
      <c r="C4" s="3" t="str">
        <f>IF(ISNA(D4)=TRUE,"",HYPERLINK(D4,"LINK"))</f>
        <v>LINK</v>
      </c>
      <c r="D4" s="5" t="s">
        <v>303</v>
      </c>
      <c r="E4" s="2" t="s">
        <v>311</v>
      </c>
      <c r="F4" s="2" t="s">
        <v>356</v>
      </c>
    </row>
    <row r="5" spans="1:6" x14ac:dyDescent="0.2">
      <c r="A5" s="2" t="s">
        <v>335</v>
      </c>
      <c r="B5" s="1" t="s">
        <v>239</v>
      </c>
      <c r="C5" s="3" t="str">
        <f t="shared" ref="C5:C66" si="0">IF(ISNA(D5)=TRUE,"",HYPERLINK(D5,"LINK"))</f>
        <v>LINK</v>
      </c>
      <c r="D5" s="5" t="s">
        <v>303</v>
      </c>
      <c r="E5" s="2" t="s">
        <v>311</v>
      </c>
      <c r="F5" s="2" t="s">
        <v>356</v>
      </c>
    </row>
    <row r="6" spans="1:6" x14ac:dyDescent="0.2">
      <c r="A6" s="2" t="s">
        <v>335</v>
      </c>
      <c r="B6" s="1" t="s">
        <v>240</v>
      </c>
      <c r="C6" s="3" t="str">
        <f t="shared" si="0"/>
        <v>LINK</v>
      </c>
      <c r="D6" s="5" t="s">
        <v>303</v>
      </c>
      <c r="E6" s="2" t="s">
        <v>311</v>
      </c>
      <c r="F6" s="2" t="s">
        <v>356</v>
      </c>
    </row>
    <row r="7" spans="1:6" x14ac:dyDescent="0.2">
      <c r="A7" s="2" t="s">
        <v>335</v>
      </c>
      <c r="B7" s="1" t="s">
        <v>241</v>
      </c>
      <c r="C7" s="3" t="str">
        <f t="shared" si="0"/>
        <v>LINK</v>
      </c>
      <c r="D7" s="5" t="s">
        <v>303</v>
      </c>
      <c r="E7" s="2" t="s">
        <v>311</v>
      </c>
      <c r="F7" s="2" t="s">
        <v>356</v>
      </c>
    </row>
    <row r="8" spans="1:6" x14ac:dyDescent="0.2">
      <c r="A8" s="2" t="s">
        <v>313</v>
      </c>
      <c r="B8" s="1" t="s">
        <v>242</v>
      </c>
      <c r="C8" s="3" t="str">
        <f t="shared" si="0"/>
        <v>LINK</v>
      </c>
      <c r="D8" s="5" t="s">
        <v>305</v>
      </c>
      <c r="E8" s="2" t="s">
        <v>321</v>
      </c>
      <c r="F8" s="2" t="s">
        <v>312</v>
      </c>
    </row>
    <row r="9" spans="1:6" x14ac:dyDescent="0.2">
      <c r="A9" s="2" t="s">
        <v>322</v>
      </c>
      <c r="B9" s="1" t="s">
        <v>243</v>
      </c>
      <c r="C9" s="3" t="str">
        <f t="shared" si="0"/>
        <v>LINK</v>
      </c>
      <c r="D9" s="5" t="s">
        <v>304</v>
      </c>
      <c r="E9" s="2" t="s">
        <v>314</v>
      </c>
      <c r="F9" s="2"/>
    </row>
    <row r="10" spans="1:6" x14ac:dyDescent="0.2">
      <c r="A10" s="2" t="s">
        <v>323</v>
      </c>
      <c r="B10" s="1" t="s">
        <v>244</v>
      </c>
      <c r="C10" s="3" t="str">
        <f t="shared" si="0"/>
        <v>LINK</v>
      </c>
      <c r="D10" s="5" t="s">
        <v>304</v>
      </c>
      <c r="E10" s="2" t="s">
        <v>314</v>
      </c>
      <c r="F10" s="2"/>
    </row>
    <row r="11" spans="1:6" x14ac:dyDescent="0.2">
      <c r="A11" s="2" t="s">
        <v>324</v>
      </c>
      <c r="B11" s="1" t="s">
        <v>245</v>
      </c>
      <c r="C11" s="3" t="str">
        <f t="shared" si="0"/>
        <v>LINK</v>
      </c>
      <c r="D11" s="5" t="s">
        <v>304</v>
      </c>
      <c r="E11" s="2" t="s">
        <v>315</v>
      </c>
      <c r="F11" s="2"/>
    </row>
    <row r="12" spans="1:6" ht="29" x14ac:dyDescent="0.2">
      <c r="A12" s="6" t="s">
        <v>317</v>
      </c>
      <c r="B12" s="2" t="s">
        <v>340</v>
      </c>
      <c r="C12" s="3" t="str">
        <f t="shared" ref="C12" si="1">IF(ISNA(D12)=TRUE,"",HYPERLINK(D12,"LINK"))</f>
        <v>LINK</v>
      </c>
      <c r="D12" s="5" t="s">
        <v>316</v>
      </c>
      <c r="E12" s="2" t="s">
        <v>318</v>
      </c>
      <c r="F12" s="2"/>
    </row>
    <row r="13" spans="1:6" ht="29" x14ac:dyDescent="0.2">
      <c r="A13" s="6" t="s">
        <v>317</v>
      </c>
      <c r="B13" s="2" t="s">
        <v>299</v>
      </c>
      <c r="C13" s="3" t="str">
        <f t="shared" si="0"/>
        <v>LINK</v>
      </c>
      <c r="D13" s="5" t="s">
        <v>316</v>
      </c>
      <c r="E13" s="2" t="s">
        <v>318</v>
      </c>
      <c r="F13" s="2"/>
    </row>
    <row r="14" spans="1:6" x14ac:dyDescent="0.2">
      <c r="A14" s="6" t="s">
        <v>319</v>
      </c>
      <c r="B14" s="1" t="s">
        <v>246</v>
      </c>
      <c r="C14" s="3" t="str">
        <f t="shared" si="0"/>
        <v>LINK</v>
      </c>
      <c r="D14" s="5" t="s">
        <v>307</v>
      </c>
      <c r="E14" s="2" t="s">
        <v>325</v>
      </c>
      <c r="F14" s="2" t="s">
        <v>320</v>
      </c>
    </row>
    <row r="15" spans="1:6" x14ac:dyDescent="0.2">
      <c r="A15" s="6" t="s">
        <v>319</v>
      </c>
      <c r="B15" s="1" t="s">
        <v>247</v>
      </c>
      <c r="C15" s="3" t="str">
        <f t="shared" si="0"/>
        <v>LINK</v>
      </c>
      <c r="D15" s="5" t="s">
        <v>307</v>
      </c>
      <c r="E15" s="2" t="s">
        <v>325</v>
      </c>
      <c r="F15" s="2" t="s">
        <v>320</v>
      </c>
    </row>
    <row r="16" spans="1:6" x14ac:dyDescent="0.2">
      <c r="A16" s="6" t="s">
        <v>319</v>
      </c>
      <c r="B16" s="1" t="s">
        <v>248</v>
      </c>
      <c r="C16" s="3" t="str">
        <f t="shared" si="0"/>
        <v>LINK</v>
      </c>
      <c r="D16" s="5" t="s">
        <v>307</v>
      </c>
      <c r="E16" s="2" t="s">
        <v>325</v>
      </c>
      <c r="F16" s="2" t="s">
        <v>320</v>
      </c>
    </row>
    <row r="17" spans="1:6" x14ac:dyDescent="0.2">
      <c r="A17" s="6" t="s">
        <v>319</v>
      </c>
      <c r="B17" s="1" t="s">
        <v>249</v>
      </c>
      <c r="C17" s="3" t="str">
        <f t="shared" si="0"/>
        <v>LINK</v>
      </c>
      <c r="D17" s="5" t="s">
        <v>307</v>
      </c>
      <c r="E17" s="2" t="s">
        <v>325</v>
      </c>
      <c r="F17" s="2" t="s">
        <v>320</v>
      </c>
    </row>
    <row r="18" spans="1:6" x14ac:dyDescent="0.2">
      <c r="A18" s="6" t="s">
        <v>319</v>
      </c>
      <c r="B18" s="1" t="s">
        <v>250</v>
      </c>
      <c r="C18" s="3" t="str">
        <f t="shared" si="0"/>
        <v>LINK</v>
      </c>
      <c r="D18" s="5" t="s">
        <v>307</v>
      </c>
      <c r="E18" s="2" t="s">
        <v>325</v>
      </c>
      <c r="F18" s="2" t="s">
        <v>320</v>
      </c>
    </row>
    <row r="19" spans="1:6" x14ac:dyDescent="0.2">
      <c r="A19" s="6" t="s">
        <v>319</v>
      </c>
      <c r="B19" s="1" t="s">
        <v>251</v>
      </c>
      <c r="C19" s="3" t="str">
        <f t="shared" si="0"/>
        <v>LINK</v>
      </c>
      <c r="D19" s="5" t="s">
        <v>307</v>
      </c>
      <c r="E19" s="2" t="s">
        <v>325</v>
      </c>
      <c r="F19" s="2" t="s">
        <v>320</v>
      </c>
    </row>
    <row r="20" spans="1:6" x14ac:dyDescent="0.2">
      <c r="A20" s="6" t="s">
        <v>319</v>
      </c>
      <c r="B20" s="1" t="s">
        <v>252</v>
      </c>
      <c r="C20" s="3" t="str">
        <f t="shared" si="0"/>
        <v>LINK</v>
      </c>
      <c r="D20" s="5" t="s">
        <v>307</v>
      </c>
      <c r="E20" s="2" t="s">
        <v>325</v>
      </c>
      <c r="F20" s="2" t="s">
        <v>320</v>
      </c>
    </row>
    <row r="21" spans="1:6" x14ac:dyDescent="0.2">
      <c r="A21" s="6" t="s">
        <v>319</v>
      </c>
      <c r="B21" s="1" t="s">
        <v>253</v>
      </c>
      <c r="C21" s="3" t="str">
        <f t="shared" si="0"/>
        <v>LINK</v>
      </c>
      <c r="D21" s="5" t="s">
        <v>307</v>
      </c>
      <c r="E21" s="2" t="s">
        <v>325</v>
      </c>
      <c r="F21" s="2" t="s">
        <v>320</v>
      </c>
    </row>
    <row r="22" spans="1:6" x14ac:dyDescent="0.2">
      <c r="A22" s="6" t="s">
        <v>319</v>
      </c>
      <c r="B22" s="1" t="s">
        <v>254</v>
      </c>
      <c r="C22" s="3" t="str">
        <f t="shared" si="0"/>
        <v>LINK</v>
      </c>
      <c r="D22" s="5" t="s">
        <v>307</v>
      </c>
      <c r="E22" s="2" t="s">
        <v>325</v>
      </c>
      <c r="F22" s="2" t="s">
        <v>320</v>
      </c>
    </row>
    <row r="23" spans="1:6" x14ac:dyDescent="0.2">
      <c r="A23" s="6" t="s">
        <v>319</v>
      </c>
      <c r="B23" s="1" t="s">
        <v>255</v>
      </c>
      <c r="C23" s="3" t="str">
        <f t="shared" si="0"/>
        <v>LINK</v>
      </c>
      <c r="D23" s="5" t="s">
        <v>307</v>
      </c>
      <c r="E23" s="2" t="s">
        <v>325</v>
      </c>
      <c r="F23" s="2" t="s">
        <v>320</v>
      </c>
    </row>
    <row r="24" spans="1:6" x14ac:dyDescent="0.2">
      <c r="A24" s="6" t="s">
        <v>319</v>
      </c>
      <c r="B24" s="1" t="s">
        <v>256</v>
      </c>
      <c r="C24" s="3" t="str">
        <f t="shared" si="0"/>
        <v>LINK</v>
      </c>
      <c r="D24" s="5" t="s">
        <v>307</v>
      </c>
      <c r="E24" s="2" t="s">
        <v>325</v>
      </c>
      <c r="F24" s="2" t="s">
        <v>320</v>
      </c>
    </row>
    <row r="25" spans="1:6" x14ac:dyDescent="0.2">
      <c r="A25" s="6" t="s">
        <v>319</v>
      </c>
      <c r="B25" s="1" t="s">
        <v>257</v>
      </c>
      <c r="C25" s="3" t="str">
        <f t="shared" si="0"/>
        <v>LINK</v>
      </c>
      <c r="D25" s="5" t="s">
        <v>307</v>
      </c>
      <c r="E25" s="2" t="s">
        <v>325</v>
      </c>
      <c r="F25" s="2" t="s">
        <v>320</v>
      </c>
    </row>
    <row r="26" spans="1:6" x14ac:dyDescent="0.2">
      <c r="A26" s="6" t="s">
        <v>319</v>
      </c>
      <c r="B26" s="1" t="s">
        <v>258</v>
      </c>
      <c r="C26" s="3" t="str">
        <f t="shared" si="0"/>
        <v>LINK</v>
      </c>
      <c r="D26" s="5" t="s">
        <v>307</v>
      </c>
      <c r="E26" s="2" t="s">
        <v>325</v>
      </c>
      <c r="F26" s="2" t="s">
        <v>320</v>
      </c>
    </row>
    <row r="27" spans="1:6" x14ac:dyDescent="0.2">
      <c r="A27" s="6" t="s">
        <v>319</v>
      </c>
      <c r="B27" s="1" t="s">
        <v>259</v>
      </c>
      <c r="C27" s="3" t="str">
        <f t="shared" si="0"/>
        <v>LINK</v>
      </c>
      <c r="D27" s="5" t="s">
        <v>307</v>
      </c>
      <c r="E27" s="2" t="s">
        <v>325</v>
      </c>
      <c r="F27" s="2" t="s">
        <v>320</v>
      </c>
    </row>
    <row r="28" spans="1:6" x14ac:dyDescent="0.2">
      <c r="A28" s="6" t="s">
        <v>319</v>
      </c>
      <c r="B28" s="1" t="s">
        <v>260</v>
      </c>
      <c r="C28" s="3" t="str">
        <f t="shared" si="0"/>
        <v>LINK</v>
      </c>
      <c r="D28" s="5" t="s">
        <v>307</v>
      </c>
      <c r="E28" s="2" t="s">
        <v>325</v>
      </c>
      <c r="F28" s="2" t="s">
        <v>320</v>
      </c>
    </row>
    <row r="29" spans="1:6" x14ac:dyDescent="0.2">
      <c r="A29" s="6" t="s">
        <v>319</v>
      </c>
      <c r="B29" s="1" t="s">
        <v>261</v>
      </c>
      <c r="C29" s="3" t="str">
        <f t="shared" si="0"/>
        <v>LINK</v>
      </c>
      <c r="D29" s="5" t="s">
        <v>307</v>
      </c>
      <c r="E29" s="2" t="s">
        <v>325</v>
      </c>
      <c r="F29" s="2" t="s">
        <v>320</v>
      </c>
    </row>
    <row r="30" spans="1:6" x14ac:dyDescent="0.2">
      <c r="A30" s="6" t="s">
        <v>319</v>
      </c>
      <c r="B30" s="1" t="s">
        <v>262</v>
      </c>
      <c r="C30" s="3" t="str">
        <f t="shared" si="0"/>
        <v>LINK</v>
      </c>
      <c r="D30" s="5" t="s">
        <v>307</v>
      </c>
      <c r="E30" s="2" t="s">
        <v>325</v>
      </c>
      <c r="F30" s="2" t="s">
        <v>320</v>
      </c>
    </row>
    <row r="31" spans="1:6" x14ac:dyDescent="0.2">
      <c r="A31" s="6" t="s">
        <v>319</v>
      </c>
      <c r="B31" s="1" t="s">
        <v>263</v>
      </c>
      <c r="C31" s="3" t="str">
        <f t="shared" si="0"/>
        <v>LINK</v>
      </c>
      <c r="D31" s="5" t="s">
        <v>307</v>
      </c>
      <c r="E31" s="2" t="s">
        <v>325</v>
      </c>
      <c r="F31" s="2" t="s">
        <v>320</v>
      </c>
    </row>
    <row r="32" spans="1:6" x14ac:dyDescent="0.2">
      <c r="A32" s="6" t="s">
        <v>319</v>
      </c>
      <c r="B32" s="1" t="s">
        <v>264</v>
      </c>
      <c r="C32" s="3" t="str">
        <f t="shared" si="0"/>
        <v>LINK</v>
      </c>
      <c r="D32" s="5" t="s">
        <v>307</v>
      </c>
      <c r="E32" s="2" t="s">
        <v>325</v>
      </c>
      <c r="F32" s="2" t="s">
        <v>320</v>
      </c>
    </row>
    <row r="33" spans="1:6" x14ac:dyDescent="0.2">
      <c r="A33" s="6" t="s">
        <v>319</v>
      </c>
      <c r="B33" s="1" t="s">
        <v>265</v>
      </c>
      <c r="C33" s="3" t="str">
        <f t="shared" si="0"/>
        <v>LINK</v>
      </c>
      <c r="D33" s="5" t="s">
        <v>307</v>
      </c>
      <c r="E33" s="2" t="s">
        <v>325</v>
      </c>
      <c r="F33" s="2" t="s">
        <v>320</v>
      </c>
    </row>
    <row r="34" spans="1:6" x14ac:dyDescent="0.2">
      <c r="A34" s="6" t="s">
        <v>319</v>
      </c>
      <c r="B34" s="1" t="s">
        <v>266</v>
      </c>
      <c r="C34" s="3" t="str">
        <f t="shared" si="0"/>
        <v>LINK</v>
      </c>
      <c r="D34" s="5" t="s">
        <v>307</v>
      </c>
      <c r="E34" s="2" t="s">
        <v>325</v>
      </c>
      <c r="F34" s="2" t="s">
        <v>320</v>
      </c>
    </row>
    <row r="35" spans="1:6" x14ac:dyDescent="0.2">
      <c r="A35" s="6" t="s">
        <v>319</v>
      </c>
      <c r="B35" s="1" t="s">
        <v>267</v>
      </c>
      <c r="C35" s="3" t="str">
        <f t="shared" si="0"/>
        <v>LINK</v>
      </c>
      <c r="D35" s="5" t="s">
        <v>307</v>
      </c>
      <c r="E35" s="2" t="s">
        <v>325</v>
      </c>
      <c r="F35" s="2" t="s">
        <v>320</v>
      </c>
    </row>
    <row r="36" spans="1:6" x14ac:dyDescent="0.2">
      <c r="A36" s="6" t="s">
        <v>319</v>
      </c>
      <c r="B36" s="1" t="s">
        <v>268</v>
      </c>
      <c r="C36" s="3" t="str">
        <f t="shared" si="0"/>
        <v>LINK</v>
      </c>
      <c r="D36" s="5" t="s">
        <v>307</v>
      </c>
      <c r="E36" s="2" t="s">
        <v>325</v>
      </c>
      <c r="F36" s="2" t="s">
        <v>320</v>
      </c>
    </row>
    <row r="37" spans="1:6" x14ac:dyDescent="0.2">
      <c r="A37" s="6" t="s">
        <v>336</v>
      </c>
      <c r="B37" s="1" t="s">
        <v>269</v>
      </c>
      <c r="C37" s="3" t="str">
        <f t="shared" si="0"/>
        <v/>
      </c>
      <c r="D37" s="2" t="e">
        <f>NA()</f>
        <v>#N/A</v>
      </c>
      <c r="E37" s="2" t="s">
        <v>367</v>
      </c>
      <c r="F37" s="2" t="s">
        <v>327</v>
      </c>
    </row>
    <row r="38" spans="1:6" x14ac:dyDescent="0.2">
      <c r="A38" s="6" t="s">
        <v>336</v>
      </c>
      <c r="B38" s="1" t="s">
        <v>270</v>
      </c>
      <c r="C38" s="3" t="str">
        <f t="shared" si="0"/>
        <v/>
      </c>
      <c r="D38" s="2" t="e">
        <f>NA()</f>
        <v>#N/A</v>
      </c>
      <c r="E38" s="2" t="s">
        <v>367</v>
      </c>
      <c r="F38" s="2" t="s">
        <v>327</v>
      </c>
    </row>
    <row r="39" spans="1:6" x14ac:dyDescent="0.2">
      <c r="A39" s="6" t="s">
        <v>336</v>
      </c>
      <c r="B39" s="1" t="s">
        <v>271</v>
      </c>
      <c r="C39" s="3" t="str">
        <f t="shared" si="0"/>
        <v/>
      </c>
      <c r="D39" s="2" t="e">
        <f>NA()</f>
        <v>#N/A</v>
      </c>
      <c r="E39" s="2" t="s">
        <v>367</v>
      </c>
      <c r="F39" s="2" t="s">
        <v>327</v>
      </c>
    </row>
    <row r="40" spans="1:6" x14ac:dyDescent="0.2">
      <c r="A40" s="6" t="s">
        <v>336</v>
      </c>
      <c r="B40" s="1" t="s">
        <v>272</v>
      </c>
      <c r="C40" s="3" t="str">
        <f t="shared" si="0"/>
        <v/>
      </c>
      <c r="D40" s="2" t="e">
        <f>NA()</f>
        <v>#N/A</v>
      </c>
      <c r="E40" s="2" t="s">
        <v>367</v>
      </c>
      <c r="F40" s="2" t="s">
        <v>327</v>
      </c>
    </row>
    <row r="41" spans="1:6" x14ac:dyDescent="0.2">
      <c r="A41" s="6" t="s">
        <v>336</v>
      </c>
      <c r="B41" s="1" t="s">
        <v>273</v>
      </c>
      <c r="C41" s="3" t="str">
        <f t="shared" si="0"/>
        <v/>
      </c>
      <c r="D41" s="2" t="e">
        <f>NA()</f>
        <v>#N/A</v>
      </c>
      <c r="E41" s="2" t="s">
        <v>367</v>
      </c>
      <c r="F41" s="2" t="s">
        <v>327</v>
      </c>
    </row>
    <row r="42" spans="1:6" x14ac:dyDescent="0.2">
      <c r="A42" s="6" t="s">
        <v>336</v>
      </c>
      <c r="B42" s="1" t="s">
        <v>274</v>
      </c>
      <c r="C42" s="3" t="str">
        <f t="shared" si="0"/>
        <v/>
      </c>
      <c r="D42" s="2" t="e">
        <f>NA()</f>
        <v>#N/A</v>
      </c>
      <c r="E42" s="2" t="s">
        <v>368</v>
      </c>
      <c r="F42" s="2" t="s">
        <v>333</v>
      </c>
    </row>
    <row r="43" spans="1:6" x14ac:dyDescent="0.2">
      <c r="A43" s="6" t="s">
        <v>326</v>
      </c>
      <c r="B43" s="1" t="s">
        <v>275</v>
      </c>
      <c r="C43" s="3" t="str">
        <f t="shared" si="0"/>
        <v>LINK</v>
      </c>
      <c r="D43" s="5" t="s">
        <v>328</v>
      </c>
      <c r="E43" s="2" t="s">
        <v>329</v>
      </c>
      <c r="F43" s="2"/>
    </row>
    <row r="44" spans="1:6" x14ac:dyDescent="0.2">
      <c r="A44" s="6" t="s">
        <v>337</v>
      </c>
      <c r="B44" s="1" t="s">
        <v>276</v>
      </c>
      <c r="C44" s="3" t="str">
        <f t="shared" si="0"/>
        <v/>
      </c>
      <c r="D44" s="2" t="e">
        <f>NA()</f>
        <v>#N/A</v>
      </c>
      <c r="E44" s="2" t="s">
        <v>368</v>
      </c>
      <c r="F44" s="2" t="s">
        <v>333</v>
      </c>
    </row>
    <row r="45" spans="1:6" x14ac:dyDescent="0.2">
      <c r="A45" s="6" t="s">
        <v>338</v>
      </c>
      <c r="B45" s="2" t="s">
        <v>277</v>
      </c>
      <c r="C45" s="3" t="str">
        <f t="shared" si="0"/>
        <v/>
      </c>
      <c r="D45" s="2" t="e">
        <f>NA()</f>
        <v>#N/A</v>
      </c>
      <c r="E45" s="2" t="s">
        <v>368</v>
      </c>
      <c r="F45" s="2" t="s">
        <v>333</v>
      </c>
    </row>
    <row r="46" spans="1:6" x14ac:dyDescent="0.2">
      <c r="A46" s="6" t="s">
        <v>339</v>
      </c>
      <c r="B46" s="1" t="s">
        <v>278</v>
      </c>
      <c r="C46" s="3" t="str">
        <f t="shared" si="0"/>
        <v>LINK</v>
      </c>
      <c r="D46" s="5" t="s">
        <v>306</v>
      </c>
      <c r="E46" s="2" t="s">
        <v>330</v>
      </c>
      <c r="F46" s="2" t="s">
        <v>332</v>
      </c>
    </row>
    <row r="47" spans="1:6" x14ac:dyDescent="0.2">
      <c r="A47" s="6" t="s">
        <v>339</v>
      </c>
      <c r="B47" s="1" t="s">
        <v>279</v>
      </c>
      <c r="C47" s="3" t="str">
        <f t="shared" si="0"/>
        <v>LINK</v>
      </c>
      <c r="D47" s="5" t="s">
        <v>306</v>
      </c>
      <c r="E47" s="2" t="s">
        <v>331</v>
      </c>
      <c r="F47" s="2" t="s">
        <v>332</v>
      </c>
    </row>
    <row r="48" spans="1:6" x14ac:dyDescent="0.2">
      <c r="A48" s="6" t="s">
        <v>339</v>
      </c>
      <c r="B48" s="1" t="s">
        <v>280</v>
      </c>
      <c r="C48" s="3" t="str">
        <f t="shared" si="0"/>
        <v>LINK</v>
      </c>
      <c r="D48" s="5" t="s">
        <v>306</v>
      </c>
      <c r="E48" s="2" t="s">
        <v>330</v>
      </c>
      <c r="F48" s="2" t="s">
        <v>332</v>
      </c>
    </row>
    <row r="49" spans="1:6" x14ac:dyDescent="0.2">
      <c r="A49" s="6" t="s">
        <v>339</v>
      </c>
      <c r="B49" s="1" t="s">
        <v>281</v>
      </c>
      <c r="C49" s="3" t="str">
        <f t="shared" si="0"/>
        <v>LINK</v>
      </c>
      <c r="D49" s="5" t="s">
        <v>306</v>
      </c>
      <c r="E49" s="2" t="s">
        <v>330</v>
      </c>
      <c r="F49" s="2" t="s">
        <v>332</v>
      </c>
    </row>
    <row r="50" spans="1:6" x14ac:dyDescent="0.2">
      <c r="A50" s="6" t="s">
        <v>339</v>
      </c>
      <c r="B50" s="1" t="s">
        <v>282</v>
      </c>
      <c r="C50" s="3" t="str">
        <f t="shared" si="0"/>
        <v>LINK</v>
      </c>
      <c r="D50" s="5" t="s">
        <v>306</v>
      </c>
      <c r="E50" s="2" t="s">
        <v>330</v>
      </c>
      <c r="F50" s="2" t="s">
        <v>332</v>
      </c>
    </row>
    <row r="51" spans="1:6" x14ac:dyDescent="0.2">
      <c r="A51" s="6" t="s">
        <v>339</v>
      </c>
      <c r="B51" s="1" t="s">
        <v>283</v>
      </c>
      <c r="C51" s="3" t="str">
        <f t="shared" si="0"/>
        <v>LINK</v>
      </c>
      <c r="D51" s="5" t="s">
        <v>306</v>
      </c>
      <c r="E51" s="2" t="s">
        <v>330</v>
      </c>
      <c r="F51" s="2" t="s">
        <v>332</v>
      </c>
    </row>
    <row r="52" spans="1:6" x14ac:dyDescent="0.2">
      <c r="A52" s="6" t="s">
        <v>339</v>
      </c>
      <c r="B52" s="1" t="s">
        <v>284</v>
      </c>
      <c r="C52" s="3" t="str">
        <f t="shared" si="0"/>
        <v>LINK</v>
      </c>
      <c r="D52" s="5" t="s">
        <v>306</v>
      </c>
      <c r="E52" s="2" t="s">
        <v>330</v>
      </c>
      <c r="F52" s="2" t="s">
        <v>332</v>
      </c>
    </row>
    <row r="53" spans="1:6" x14ac:dyDescent="0.2">
      <c r="A53" s="6" t="s">
        <v>339</v>
      </c>
      <c r="B53" s="1" t="s">
        <v>285</v>
      </c>
      <c r="C53" s="3" t="str">
        <f t="shared" si="0"/>
        <v>LINK</v>
      </c>
      <c r="D53" s="5" t="s">
        <v>306</v>
      </c>
      <c r="E53" s="2" t="s">
        <v>330</v>
      </c>
      <c r="F53" s="2" t="s">
        <v>332</v>
      </c>
    </row>
    <row r="54" spans="1:6" x14ac:dyDescent="0.2">
      <c r="A54" s="6" t="s">
        <v>339</v>
      </c>
      <c r="B54" s="1" t="s">
        <v>286</v>
      </c>
      <c r="C54" s="3" t="str">
        <f t="shared" si="0"/>
        <v>LINK</v>
      </c>
      <c r="D54" s="5" t="s">
        <v>306</v>
      </c>
      <c r="E54" s="2" t="s">
        <v>330</v>
      </c>
      <c r="F54" s="2" t="s">
        <v>332</v>
      </c>
    </row>
    <row r="55" spans="1:6" x14ac:dyDescent="0.2">
      <c r="A55" s="6" t="s">
        <v>339</v>
      </c>
      <c r="B55" s="1" t="s">
        <v>287</v>
      </c>
      <c r="C55" s="3" t="str">
        <f t="shared" si="0"/>
        <v>LINK</v>
      </c>
      <c r="D55" s="5" t="s">
        <v>306</v>
      </c>
      <c r="E55" s="2" t="s">
        <v>330</v>
      </c>
      <c r="F55" s="2" t="s">
        <v>332</v>
      </c>
    </row>
    <row r="56" spans="1:6" x14ac:dyDescent="0.2">
      <c r="A56" s="6" t="s">
        <v>339</v>
      </c>
      <c r="B56" s="1" t="s">
        <v>288</v>
      </c>
      <c r="C56" s="3" t="str">
        <f t="shared" si="0"/>
        <v>LINK</v>
      </c>
      <c r="D56" s="5" t="s">
        <v>306</v>
      </c>
      <c r="E56" s="2" t="s">
        <v>330</v>
      </c>
      <c r="F56" s="2" t="s">
        <v>332</v>
      </c>
    </row>
    <row r="57" spans="1:6" x14ac:dyDescent="0.2">
      <c r="A57" s="6" t="s">
        <v>339</v>
      </c>
      <c r="B57" s="1" t="s">
        <v>289</v>
      </c>
      <c r="C57" s="3" t="str">
        <f t="shared" si="0"/>
        <v>LINK</v>
      </c>
      <c r="D57" s="5" t="s">
        <v>306</v>
      </c>
      <c r="E57" s="2" t="s">
        <v>330</v>
      </c>
      <c r="F57" s="2" t="s">
        <v>332</v>
      </c>
    </row>
    <row r="58" spans="1:6" x14ac:dyDescent="0.2">
      <c r="A58" s="6" t="s">
        <v>339</v>
      </c>
      <c r="B58" s="1" t="s">
        <v>290</v>
      </c>
      <c r="C58" s="3" t="str">
        <f t="shared" si="0"/>
        <v>LINK</v>
      </c>
      <c r="D58" s="5" t="s">
        <v>306</v>
      </c>
      <c r="E58" s="2" t="s">
        <v>330</v>
      </c>
      <c r="F58" s="2" t="s">
        <v>332</v>
      </c>
    </row>
    <row r="59" spans="1:6" x14ac:dyDescent="0.2">
      <c r="A59" s="6" t="s">
        <v>339</v>
      </c>
      <c r="B59" s="1" t="s">
        <v>291</v>
      </c>
      <c r="C59" s="3" t="str">
        <f t="shared" si="0"/>
        <v>LINK</v>
      </c>
      <c r="D59" s="5" t="s">
        <v>306</v>
      </c>
      <c r="E59" s="2" t="s">
        <v>330</v>
      </c>
      <c r="F59" s="2" t="s">
        <v>332</v>
      </c>
    </row>
    <row r="60" spans="1:6" x14ac:dyDescent="0.2">
      <c r="A60" s="6" t="s">
        <v>339</v>
      </c>
      <c r="B60" s="1" t="s">
        <v>292</v>
      </c>
      <c r="C60" s="3" t="str">
        <f t="shared" si="0"/>
        <v>LINK</v>
      </c>
      <c r="D60" s="5" t="s">
        <v>306</v>
      </c>
      <c r="E60" s="2" t="s">
        <v>330</v>
      </c>
      <c r="F60" s="2" t="s">
        <v>332</v>
      </c>
    </row>
    <row r="61" spans="1:6" x14ac:dyDescent="0.2">
      <c r="A61" s="6" t="s">
        <v>339</v>
      </c>
      <c r="B61" s="1" t="s">
        <v>293</v>
      </c>
      <c r="C61" s="3" t="str">
        <f t="shared" si="0"/>
        <v>LINK</v>
      </c>
      <c r="D61" s="5" t="s">
        <v>306</v>
      </c>
      <c r="E61" s="2" t="s">
        <v>330</v>
      </c>
      <c r="F61" s="2" t="s">
        <v>332</v>
      </c>
    </row>
    <row r="62" spans="1:6" x14ac:dyDescent="0.2">
      <c r="A62" s="6" t="s">
        <v>339</v>
      </c>
      <c r="B62" s="1" t="s">
        <v>294</v>
      </c>
      <c r="C62" s="3" t="str">
        <f t="shared" si="0"/>
        <v>LINK</v>
      </c>
      <c r="D62" s="5" t="s">
        <v>306</v>
      </c>
      <c r="E62" s="2" t="s">
        <v>330</v>
      </c>
      <c r="F62" s="2" t="s">
        <v>332</v>
      </c>
    </row>
    <row r="63" spans="1:6" x14ac:dyDescent="0.2">
      <c r="A63" s="6" t="s">
        <v>339</v>
      </c>
      <c r="B63" s="1" t="s">
        <v>295</v>
      </c>
      <c r="C63" s="3" t="str">
        <f t="shared" si="0"/>
        <v>LINK</v>
      </c>
      <c r="D63" s="5" t="s">
        <v>306</v>
      </c>
      <c r="E63" s="2" t="s">
        <v>330</v>
      </c>
      <c r="F63" s="2" t="s">
        <v>332</v>
      </c>
    </row>
    <row r="64" spans="1:6" x14ac:dyDescent="0.2">
      <c r="A64" s="6" t="s">
        <v>339</v>
      </c>
      <c r="B64" s="1" t="s">
        <v>296</v>
      </c>
      <c r="C64" s="3" t="str">
        <f t="shared" si="0"/>
        <v>LINK</v>
      </c>
      <c r="D64" s="5" t="s">
        <v>306</v>
      </c>
      <c r="E64" s="2" t="s">
        <v>330</v>
      </c>
      <c r="F64" s="2" t="s">
        <v>332</v>
      </c>
    </row>
    <row r="65" spans="1:6" x14ac:dyDescent="0.2">
      <c r="A65" s="6" t="s">
        <v>339</v>
      </c>
      <c r="B65" s="1" t="s">
        <v>297</v>
      </c>
      <c r="C65" s="3" t="str">
        <f t="shared" si="0"/>
        <v>LINK</v>
      </c>
      <c r="D65" s="5" t="s">
        <v>306</v>
      </c>
      <c r="E65" s="2" t="s">
        <v>330</v>
      </c>
      <c r="F65" s="2" t="s">
        <v>332</v>
      </c>
    </row>
    <row r="66" spans="1:6" x14ac:dyDescent="0.2">
      <c r="A66" s="6" t="s">
        <v>339</v>
      </c>
      <c r="B66" s="1" t="s">
        <v>298</v>
      </c>
      <c r="C66" s="3" t="str">
        <f t="shared" si="0"/>
        <v>LINK</v>
      </c>
      <c r="D66" s="5" t="s">
        <v>306</v>
      </c>
      <c r="E66" s="2" t="s">
        <v>330</v>
      </c>
      <c r="F66" s="2" t="s">
        <v>332</v>
      </c>
    </row>
  </sheetData>
  <hyperlinks>
    <hyperlink ref="D9" r:id="rId1" xr:uid="{00000000-0004-0000-0300-000000000000}"/>
    <hyperlink ref="D10:D11" r:id="rId2" display="https://www.ddorn.net/data.htm" xr:uid="{00000000-0004-0000-0300-000001000000}"/>
    <hyperlink ref="D14" r:id="rId3" location="null" display="null" xr:uid="{00000000-0004-0000-0300-000002000000}"/>
    <hyperlink ref="D15:D36" r:id="rId4" location="null" display="null" xr:uid="{00000000-0004-0000-0300-000003000000}"/>
    <hyperlink ref="D4" r:id="rId5" xr:uid="{00000000-0004-0000-0300-000004000000}"/>
    <hyperlink ref="D5" r:id="rId6" xr:uid="{00000000-0004-0000-0300-000005000000}"/>
    <hyperlink ref="D6" r:id="rId7" xr:uid="{00000000-0004-0000-0300-000006000000}"/>
    <hyperlink ref="D7" r:id="rId8" xr:uid="{00000000-0004-0000-0300-000007000000}"/>
    <hyperlink ref="D8" r:id="rId9" xr:uid="{00000000-0004-0000-0300-000008000000}"/>
    <hyperlink ref="D10" r:id="rId10" xr:uid="{00000000-0004-0000-0300-000009000000}"/>
    <hyperlink ref="D43" r:id="rId11" xr:uid="{00000000-0004-0000-0300-00000A000000}"/>
    <hyperlink ref="D46" r:id="rId12" display="http://trim3.urban.org/" xr:uid="{00000000-0004-0000-0300-00000B000000}"/>
    <hyperlink ref="D47:D66" r:id="rId13" display="http://trim3.urban.org/" xr:uid="{00000000-0004-0000-0300-00000C000000}"/>
    <hyperlink ref="D13" r:id="rId14" xr:uid="{00000000-0004-0000-0300-00000D000000}"/>
    <hyperlink ref="D12" r:id="rId15" xr:uid="{00000000-0004-0000-0300-00000E000000}"/>
  </hyperlinks>
  <pageMargins left="0.7" right="0.7" top="0.75" bottom="0.75" header="0.3" footer="0.3"/>
  <pageSetup orientation="portrait" verticalDpi="0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Figure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Lee</dc:creator>
  <cp:lastModifiedBy>Evan Joseph Soltas</cp:lastModifiedBy>
  <dcterms:created xsi:type="dcterms:W3CDTF">2025-08-28T18:45:29Z</dcterms:created>
  <dcterms:modified xsi:type="dcterms:W3CDTF">2026-04-27T21:26:03Z</dcterms:modified>
</cp:coreProperties>
</file>